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koyama Taro\Documents\lab\Miero\data\"/>
    </mc:Choice>
  </mc:AlternateContent>
  <xr:revisionPtr revIDLastSave="0" documentId="8_{A4DBCFA8-4649-4F94-B9EB-6BE450544BCD}" xr6:coauthVersionLast="47" xr6:coauthVersionMax="47" xr10:uidLastSave="{00000000-0000-0000-0000-000000000000}"/>
  <bookViews>
    <workbookView xWindow="-28920" yWindow="-120" windowWidth="29040" windowHeight="16440" firstSheet="2" activeTab="2" xr2:uid="{FE58F151-5D73-4E4F-924C-2685F38DA4FC}"/>
  </bookViews>
  <sheets>
    <sheet name="R5_M59-1" sheetId="1" r:id="rId1"/>
    <sheet name="R5_S59-1" sheetId="2" r:id="rId2"/>
    <sheet name="R6_M11" sheetId="3" r:id="rId3"/>
    <sheet name="A240009" sheetId="4" r:id="rId4"/>
  </sheets>
  <externalReferences>
    <externalReference r:id="rId5"/>
    <externalReference r:id="rId6"/>
  </externalReferences>
  <definedNames>
    <definedName name="_xlnm.Print_Area" localSheetId="3">'A240009'!$A$1:$G$31</definedName>
    <definedName name="_xlnm.Print_Area" localSheetId="0">'R5_M59-1'!$A$1:$G$28</definedName>
    <definedName name="_xlnm.Print_Area" localSheetId="1">'R5_S59-1'!$A$1:$G$35</definedName>
    <definedName name="_xlnm.Print_Area" localSheetId="2">'R6_M11'!$A$1:$G$26</definedName>
    <definedName name="全選択" localSheetId="3">[1]調査票!#REF!</definedName>
    <definedName name="全選択" localSheetId="1">[1]調査票!#REF!</definedName>
    <definedName name="全選択">[1]調査票!#REF!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5" i="3"/>
  <c r="F14" i="3"/>
  <c r="F13" i="3"/>
  <c r="F12" i="3"/>
  <c r="F11" i="3"/>
  <c r="F14" i="4"/>
  <c r="F13" i="4" l="1"/>
  <c r="F12" i="4"/>
  <c r="F11" i="4"/>
  <c r="F23" i="4"/>
  <c r="F22" i="4"/>
  <c r="F21" i="4"/>
  <c r="F20" i="4"/>
  <c r="F19" i="4"/>
  <c r="F18" i="4"/>
  <c r="F16" i="4"/>
  <c r="F15" i="4"/>
  <c r="F23" i="3"/>
  <c r="F22" i="3"/>
  <c r="F21" i="3"/>
  <c r="F20" i="3"/>
  <c r="F19" i="3"/>
  <c r="F18" i="3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5" i="4" l="1"/>
  <c r="F26" i="4" s="1"/>
  <c r="F27" i="4" s="1"/>
  <c r="B6" i="4" s="1"/>
  <c r="F24" i="3"/>
  <c r="F25" i="3" s="1"/>
  <c r="F26" i="3" s="1"/>
  <c r="B6" i="3" s="1"/>
  <c r="F29" i="2"/>
  <c r="F30" i="2"/>
  <c r="F31" i="2" s="1"/>
  <c r="B6" i="2" s="1"/>
  <c r="F11" i="1"/>
  <c r="F12" i="1"/>
  <c r="F26" i="1" s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7" i="1" l="1"/>
  <c r="F28" i="1" s="1"/>
  <c r="B6" i="1" s="1"/>
</calcChain>
</file>

<file path=xl/sharedStrings.xml><?xml version="1.0" encoding="utf-8"?>
<sst xmlns="http://schemas.openxmlformats.org/spreadsheetml/2006/main" count="203" uniqueCount="65">
  <si>
    <t>合計</t>
    <rPh sb="0" eb="2">
      <t>ゴウケイ</t>
    </rPh>
    <phoneticPr fontId="6"/>
  </si>
  <si>
    <t>消費税</t>
    <rPh sb="0" eb="3">
      <t>ショウヒゼイ</t>
    </rPh>
    <phoneticPr fontId="6"/>
  </si>
  <si>
    <t>小計</t>
    <rPh sb="0" eb="2">
      <t>ショウケイ</t>
    </rPh>
    <phoneticPr fontId="6"/>
  </si>
  <si>
    <t>右左岸　50m間隔</t>
    <rPh sb="0" eb="1">
      <t>ミギ</t>
    </rPh>
    <rPh sb="1" eb="3">
      <t>サガン</t>
    </rPh>
    <rPh sb="7" eb="9">
      <t>カンカク</t>
    </rPh>
    <phoneticPr fontId="3"/>
  </si>
  <si>
    <t>式</t>
  </si>
  <si>
    <t>幅杭設置</t>
    <rPh sb="0" eb="4">
      <t>ハバクイセッチ</t>
    </rPh>
    <phoneticPr fontId="3"/>
  </si>
  <si>
    <t>伐木調査</t>
    <rPh sb="0" eb="2">
      <t>バツボク</t>
    </rPh>
    <rPh sb="2" eb="4">
      <t>チョウサ</t>
    </rPh>
    <phoneticPr fontId="3"/>
  </si>
  <si>
    <t>エトンビ川工区</t>
    <rPh sb="4" eb="5">
      <t>ガワ</t>
    </rPh>
    <rPh sb="5" eb="7">
      <t>コウク</t>
    </rPh>
    <phoneticPr fontId="3"/>
  </si>
  <si>
    <t>横断図作成</t>
    <rPh sb="0" eb="5">
      <t>オウダンズサクセイ</t>
    </rPh>
    <phoneticPr fontId="3"/>
  </si>
  <si>
    <t>断面</t>
    <rPh sb="0" eb="2">
      <t>ダンメン</t>
    </rPh>
    <phoneticPr fontId="3"/>
  </si>
  <si>
    <t>横断図設計計画</t>
    <rPh sb="0" eb="3">
      <t>オウダンズ</t>
    </rPh>
    <rPh sb="3" eb="5">
      <t>セッケイ</t>
    </rPh>
    <rPh sb="5" eb="7">
      <t>ケイカク</t>
    </rPh>
    <phoneticPr fontId="3"/>
  </si>
  <si>
    <t>km</t>
  </si>
  <si>
    <t>線形計算</t>
    <rPh sb="0" eb="4">
      <t>センケイケイサン</t>
    </rPh>
    <phoneticPr fontId="3"/>
  </si>
  <si>
    <t>25m間隔　垂木杭</t>
    <rPh sb="3" eb="5">
      <t>カンカク</t>
    </rPh>
    <rPh sb="6" eb="9">
      <t>タルキクイ</t>
    </rPh>
    <phoneticPr fontId="3"/>
  </si>
  <si>
    <t>　</t>
    <phoneticPr fontId="3"/>
  </si>
  <si>
    <t>測量成果簿作成</t>
    <rPh sb="0" eb="2">
      <t>ソクリョウ</t>
    </rPh>
    <rPh sb="2" eb="5">
      <t>セイカボ</t>
    </rPh>
    <rPh sb="5" eb="7">
      <t>サクセイ</t>
    </rPh>
    <phoneticPr fontId="3"/>
  </si>
  <si>
    <t>25m間隔</t>
    <rPh sb="3" eb="5">
      <t>カンカク</t>
    </rPh>
    <phoneticPr fontId="3"/>
  </si>
  <si>
    <t>横断測量(小規模)</t>
    <rPh sb="0" eb="2">
      <t>オウダン</t>
    </rPh>
    <rPh sb="2" eb="4">
      <t>ソクリョウ</t>
    </rPh>
    <rPh sb="5" eb="8">
      <t>ショウキボ</t>
    </rPh>
    <phoneticPr fontId="3"/>
  </si>
  <si>
    <t>直接水準</t>
    <rPh sb="0" eb="4">
      <t>チョクセツスイジュン</t>
    </rPh>
    <phoneticPr fontId="3"/>
  </si>
  <si>
    <t>水準測量</t>
    <rPh sb="0" eb="4">
      <t>スイジュンソクリョウ</t>
    </rPh>
    <phoneticPr fontId="3"/>
  </si>
  <si>
    <t>4級基準点</t>
    <rPh sb="1" eb="5">
      <t>キュウキジュンテン</t>
    </rPh>
    <phoneticPr fontId="3"/>
  </si>
  <si>
    <t>点</t>
  </si>
  <si>
    <t>基準点測量</t>
    <rPh sb="0" eb="5">
      <t>キジュンテンソクリョウ</t>
    </rPh>
    <phoneticPr fontId="3"/>
  </si>
  <si>
    <t>奥蘂別川工区</t>
    <rPh sb="0" eb="3">
      <t>オクシベツ</t>
    </rPh>
    <rPh sb="3" eb="4">
      <t>カワ</t>
    </rPh>
    <rPh sb="4" eb="6">
      <t>コウク</t>
    </rPh>
    <phoneticPr fontId="3"/>
  </si>
  <si>
    <t>摘要</t>
    <rPh sb="0" eb="2">
      <t>テキヨウ</t>
    </rPh>
    <phoneticPr fontId="6"/>
  </si>
  <si>
    <t>金額</t>
    <rPh sb="0" eb="2">
      <t>キンガク</t>
    </rPh>
    <phoneticPr fontId="6"/>
  </si>
  <si>
    <t>単価</t>
    <rPh sb="0" eb="2">
      <t>タンカ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</si>
  <si>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</si>
  <si>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</si>
  <si>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種別・細目</t>
    <rPh sb="0" eb="2">
      <t>シュベツ</t>
    </rPh>
    <rPh sb="3" eb="5">
      <t>サイモク</t>
    </rPh>
    <phoneticPr fontId="6"/>
  </si>
  <si>
    <t>工種・項目</t>
    <rPh sb="0" eb="2">
      <t>コウシュ</t>
    </rPh>
    <rPh sb="3" eb="5">
      <t>コウモク</t>
    </rPh>
    <phoneticPr fontId="6"/>
  </si>
  <si>
    <t>奥蘂別川外　道単改修工事（冬）</t>
  </si>
  <si>
    <t>業務名</t>
    <rPh sb="0" eb="2">
      <t>ギョウム</t>
    </rPh>
    <rPh sb="2" eb="3">
      <t>メイ</t>
    </rPh>
    <phoneticPr fontId="6"/>
  </si>
  <si>
    <t>(税込）</t>
    <rPh sb="1" eb="3">
      <t>ゼイコ</t>
    </rPh>
    <phoneticPr fontId="6"/>
  </si>
  <si>
    <t>御見積金額</t>
    <rPh sb="0" eb="1">
      <t>オン</t>
    </rPh>
    <rPh sb="1" eb="3">
      <t>ミツモ</t>
    </rPh>
    <rPh sb="3" eb="5">
      <t>キンガク</t>
    </rPh>
    <phoneticPr fontId="6"/>
  </si>
  <si>
    <t>下記の通りお見積もりいたします。</t>
    <rPh sb="0" eb="2">
      <t>カキ</t>
    </rPh>
    <rPh sb="3" eb="4">
      <t>トオ</t>
    </rPh>
    <rPh sb="6" eb="8">
      <t>ミツ</t>
    </rPh>
    <phoneticPr fontId="3"/>
  </si>
  <si>
    <t>御中</t>
  </si>
  <si>
    <t>株式会社石井組</t>
  </si>
  <si>
    <t>R5-M59-1</t>
    <phoneticPr fontId="3"/>
  </si>
  <si>
    <t>1/2ページ</t>
    <phoneticPr fontId="3"/>
  </si>
  <si>
    <t>御見積書</t>
    <rPh sb="0" eb="1">
      <t>オン</t>
    </rPh>
    <rPh sb="1" eb="4">
      <t>ミツモリショ</t>
    </rPh>
    <phoneticPr fontId="6"/>
  </si>
  <si>
    <t>斜里町農業協同組合　　 普通 0315200</t>
  </si>
  <si>
    <t>　北洋銀行　　　斜里支店 普通 0189931</t>
    <phoneticPr fontId="3"/>
  </si>
  <si>
    <t>北海道銀行　  斜里支店 普通 0403098</t>
  </si>
  <si>
    <t>　網走信用金庫　斜里支店 当座 1005498</t>
    <phoneticPr fontId="3"/>
  </si>
  <si>
    <t>お支払先</t>
  </si>
  <si>
    <t>値引き　　-46,700</t>
    <rPh sb="0" eb="2">
      <t>ネビ</t>
    </rPh>
    <phoneticPr fontId="3"/>
  </si>
  <si>
    <t>横断設計計画</t>
    <rPh sb="0" eb="2">
      <t>オウダン</t>
    </rPh>
    <rPh sb="2" eb="4">
      <t>セッケイ</t>
    </rPh>
    <rPh sb="4" eb="6">
      <t>ケイカク</t>
    </rPh>
    <phoneticPr fontId="3"/>
  </si>
  <si>
    <t>止別川工区</t>
    <rPh sb="0" eb="3">
      <t>ヤンベツカワ</t>
    </rPh>
    <rPh sb="3" eb="5">
      <t>コウク</t>
    </rPh>
    <phoneticPr fontId="3"/>
  </si>
  <si>
    <t>河道現況調査</t>
    <rPh sb="0" eb="2">
      <t>カドウ</t>
    </rPh>
    <rPh sb="2" eb="4">
      <t>ゲンキョウ</t>
    </rPh>
    <rPh sb="4" eb="6">
      <t>チョウサ</t>
    </rPh>
    <phoneticPr fontId="3"/>
  </si>
  <si>
    <t>ご請求金額</t>
    <rPh sb="1" eb="3">
      <t>セイキュウ</t>
    </rPh>
    <rPh sb="3" eb="5">
      <t>キンガク</t>
    </rPh>
    <phoneticPr fontId="6"/>
  </si>
  <si>
    <t>下記の通り請求申し上げます。</t>
    <rPh sb="0" eb="2">
      <t>カキ</t>
    </rPh>
    <rPh sb="3" eb="4">
      <t>トオ</t>
    </rPh>
    <rPh sb="5" eb="7">
      <t>セイキュウ</t>
    </rPh>
    <rPh sb="7" eb="8">
      <t>モウ</t>
    </rPh>
    <rPh sb="9" eb="10">
      <t>ア</t>
    </rPh>
    <phoneticPr fontId="3"/>
  </si>
  <si>
    <t>S59-1</t>
  </si>
  <si>
    <t>請求書</t>
    <rPh sb="0" eb="3">
      <t>セイキュウショ</t>
    </rPh>
    <phoneticPr fontId="6"/>
  </si>
  <si>
    <t>式</t>
    <rPh sb="0" eb="1">
      <t>シキ</t>
    </rPh>
    <phoneticPr fontId="3"/>
  </si>
  <si>
    <t>値引き</t>
    <rPh sb="0" eb="2">
      <t>ネビ</t>
    </rPh>
    <phoneticPr fontId="3"/>
  </si>
  <si>
    <t>UAV写真測量</t>
    <rPh sb="3" eb="5">
      <t>シャシン</t>
    </rPh>
    <rPh sb="5" eb="7">
      <t>ソクリョウ</t>
    </rPh>
    <phoneticPr fontId="3"/>
  </si>
  <si>
    <t>路線①</t>
    <rPh sb="0" eb="2">
      <t>ロセン</t>
    </rPh>
    <phoneticPr fontId="3"/>
  </si>
  <si>
    <t>路線②</t>
    <rPh sb="0" eb="2">
      <t>ロセン</t>
    </rPh>
    <phoneticPr fontId="3"/>
  </si>
  <si>
    <t>横断図作成</t>
    <rPh sb="0" eb="3">
      <t>オウダンズ</t>
    </rPh>
    <rPh sb="3" eb="5">
      <t>サクセイ</t>
    </rPh>
    <phoneticPr fontId="3"/>
  </si>
  <si>
    <t>土量計算</t>
    <rPh sb="0" eb="2">
      <t>ドリョウ</t>
    </rPh>
    <rPh sb="2" eb="4">
      <t>ケイサン</t>
    </rPh>
    <phoneticPr fontId="3"/>
  </si>
  <si>
    <t>斜里建設工業株式会社</t>
    <rPh sb="0" eb="2">
      <t>シャリ</t>
    </rPh>
    <rPh sb="2" eb="4">
      <t>ケンセツ</t>
    </rPh>
    <rPh sb="4" eb="6">
      <t>コウギョウ</t>
    </rPh>
    <rPh sb="6" eb="10">
      <t>カブシキガイシャ</t>
    </rPh>
    <phoneticPr fontId="3"/>
  </si>
  <si>
    <t>斜里町排水路浚渫工事</t>
    <rPh sb="0" eb="3">
      <t>シャリチョウ</t>
    </rPh>
    <rPh sb="3" eb="6">
      <t>ハイスイロ</t>
    </rPh>
    <rPh sb="6" eb="8">
      <t>シュンセツ</t>
    </rPh>
    <rPh sb="8" eb="10">
      <t>コウジ</t>
    </rPh>
    <phoneticPr fontId="3"/>
  </si>
  <si>
    <t>A250011</t>
    <phoneticPr fontId="3"/>
  </si>
  <si>
    <t>斜里・高橋ＪＶ</t>
    <rPh sb="0" eb="2">
      <t>シャリ</t>
    </rPh>
    <rPh sb="3" eb="5">
      <t>タカハシ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</si>
</sst>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¥&quot;* #,##0_ ;_ &quot;¥&quot;* \-#,##0_ ;_ &quot;¥&quot;* &quot;-&quot;_ ;_ @_ "/>
    <numFmt numFmtId="176" formatCode="[$-411]ggge&quot;年&quot;m&quot;月&quot;d&quot;日&quot;;@"/>
  </numFmts>
  <fonts count="22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u val="double"/>
      <sz val="24"/>
      <name val="ＭＳ ゴシック"/>
      <family val="3"/>
      <charset val="128"/>
    </font>
    <font>
      <u val="double"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color rgb="FF000000"/>
      <name val="ＭＳ Ｐゴシック"/>
      <family val="3"/>
      <charset val="128"/>
    </font>
    <font>
      <sz val="8"/>
      <color rgb="FF000000"/>
      <name val="HGｺﾞｼｯｸM"/>
      <family val="3"/>
      <charset val="128"/>
    </font>
    <font>
      <sz val="10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u val="double"/>
      <sz val="24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color theme="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38" fontId="5" fillId="0" borderId="1" xfId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left" vertical="center"/>
    </xf>
    <xf numFmtId="38" fontId="5" fillId="0" borderId="5" xfId="1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38" fontId="5" fillId="0" borderId="9" xfId="1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>
      <alignment vertical="center"/>
    </xf>
    <xf numFmtId="38" fontId="5" fillId="0" borderId="14" xfId="1" applyFont="1" applyBorder="1">
      <alignment vertical="center"/>
    </xf>
    <xf numFmtId="38" fontId="5" fillId="0" borderId="13" xfId="1" applyFont="1" applyBorder="1" applyAlignment="1">
      <alignment horizontal="right" vertical="center"/>
    </xf>
    <xf numFmtId="0" fontId="5" fillId="0" borderId="13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left" vertical="center" wrapText="1" indent="1"/>
    </xf>
    <xf numFmtId="49" fontId="5" fillId="2" borderId="13" xfId="0" applyNumberFormat="1" applyFont="1" applyFill="1" applyBorder="1" applyAlignment="1">
      <alignment horizontal="left" vertical="center" wrapText="1" indent="1"/>
    </xf>
    <xf numFmtId="0" fontId="5" fillId="0" borderId="14" xfId="0" applyFont="1" applyBorder="1">
      <alignment vertical="center"/>
    </xf>
    <xf numFmtId="38" fontId="5" fillId="0" borderId="14" xfId="1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left" vertical="center" wrapText="1" indent="1"/>
    </xf>
    <xf numFmtId="49" fontId="5" fillId="2" borderId="14" xfId="0" applyNumberFormat="1" applyFont="1" applyFill="1" applyBorder="1" applyAlignment="1">
      <alignment horizontal="left" vertical="center" wrapText="1" indent="1"/>
    </xf>
    <xf numFmtId="56" fontId="5" fillId="0" borderId="14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/>
    </xf>
    <xf numFmtId="49" fontId="5" fillId="2" borderId="16" xfId="0" applyNumberFormat="1" applyFont="1" applyFill="1" applyBorder="1" applyAlignment="1">
      <alignment horizontal="left" vertical="center" wrapText="1" indent="1"/>
    </xf>
    <xf numFmtId="0" fontId="7" fillId="3" borderId="17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5" fillId="3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42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42" fontId="8" fillId="0" borderId="19" xfId="0" applyNumberFormat="1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/>
    <xf numFmtId="0" fontId="9" fillId="0" borderId="21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25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27" xfId="0" applyFont="1" applyBorder="1">
      <alignment vertical="center"/>
    </xf>
    <xf numFmtId="0" fontId="14" fillId="0" borderId="0" xfId="0" applyFont="1">
      <alignment vertical="center"/>
    </xf>
    <xf numFmtId="0" fontId="14" fillId="0" borderId="28" xfId="0" applyFont="1" applyBorder="1">
      <alignment vertical="center"/>
    </xf>
    <xf numFmtId="0" fontId="14" fillId="0" borderId="29" xfId="0" applyFont="1" applyBorder="1">
      <alignment vertical="center"/>
    </xf>
    <xf numFmtId="0" fontId="2" fillId="0" borderId="30" xfId="0" applyFont="1" applyBorder="1">
      <alignment vertical="center"/>
    </xf>
    <xf numFmtId="0" fontId="2" fillId="0" borderId="21" xfId="0" applyFont="1" applyBorder="1">
      <alignment vertical="center"/>
    </xf>
    <xf numFmtId="0" fontId="14" fillId="0" borderId="31" xfId="0" applyFont="1" applyBorder="1">
      <alignment vertical="center"/>
    </xf>
    <xf numFmtId="0" fontId="15" fillId="0" borderId="1" xfId="0" applyFont="1" applyBorder="1">
      <alignment vertical="center"/>
    </xf>
    <xf numFmtId="38" fontId="15" fillId="0" borderId="1" xfId="1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9" fontId="15" fillId="0" borderId="5" xfId="0" applyNumberFormat="1" applyFont="1" applyBorder="1" applyAlignment="1">
      <alignment horizontal="left" vertical="center"/>
    </xf>
    <xf numFmtId="38" fontId="15" fillId="0" borderId="5" xfId="1" applyFont="1" applyBorder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9" xfId="0" applyFont="1" applyBorder="1">
      <alignment vertical="center"/>
    </xf>
    <xf numFmtId="38" fontId="15" fillId="0" borderId="9" xfId="1" applyFont="1" applyBorder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>
      <alignment vertical="center"/>
    </xf>
    <xf numFmtId="38" fontId="15" fillId="0" borderId="13" xfId="1" applyFont="1" applyBorder="1">
      <alignment vertical="center"/>
    </xf>
    <xf numFmtId="38" fontId="15" fillId="0" borderId="14" xfId="1" applyFont="1" applyBorder="1" applyAlignment="1">
      <alignment horizontal="right" vertical="center"/>
    </xf>
    <xf numFmtId="0" fontId="15" fillId="0" borderId="14" xfId="0" applyFont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left" vertical="center" wrapText="1" indent="1"/>
    </xf>
    <xf numFmtId="0" fontId="15" fillId="0" borderId="14" xfId="0" applyFont="1" applyBorder="1">
      <alignment vertical="center"/>
    </xf>
    <xf numFmtId="38" fontId="15" fillId="0" borderId="14" xfId="1" applyFont="1" applyBorder="1">
      <alignment vertical="center"/>
    </xf>
    <xf numFmtId="56" fontId="15" fillId="0" borderId="14" xfId="0" applyNumberFormat="1" applyFont="1" applyBorder="1" applyAlignment="1">
      <alignment horizontal="left" vertical="center"/>
    </xf>
    <xf numFmtId="49" fontId="15" fillId="2" borderId="32" xfId="0" applyNumberFormat="1" applyFont="1" applyFill="1" applyBorder="1" applyAlignment="1">
      <alignment horizontal="left" vertical="center" wrapText="1" indent="1"/>
    </xf>
    <xf numFmtId="49" fontId="15" fillId="0" borderId="15" xfId="0" applyNumberFormat="1" applyFont="1" applyBorder="1" applyAlignment="1">
      <alignment horizontal="left" vertical="center" wrapText="1" indent="1"/>
    </xf>
    <xf numFmtId="49" fontId="15" fillId="2" borderId="33" xfId="0" applyNumberFormat="1" applyFont="1" applyFill="1" applyBorder="1" applyAlignment="1">
      <alignment horizontal="left" vertical="center" wrapText="1" indent="1"/>
    </xf>
    <xf numFmtId="0" fontId="15" fillId="0" borderId="16" xfId="0" applyFont="1" applyBorder="1" applyAlignment="1">
      <alignment horizontal="left" vertical="center"/>
    </xf>
    <xf numFmtId="38" fontId="15" fillId="0" borderId="16" xfId="1" applyFont="1" applyBorder="1">
      <alignment vertical="center"/>
    </xf>
    <xf numFmtId="49" fontId="15" fillId="2" borderId="16" xfId="0" applyNumberFormat="1" applyFont="1" applyFill="1" applyBorder="1" applyAlignment="1">
      <alignment horizontal="left" vertical="center" wrapText="1" indent="1"/>
    </xf>
    <xf numFmtId="0" fontId="15" fillId="4" borderId="17" xfId="0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4" fillId="4" borderId="18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top"/>
    </xf>
    <xf numFmtId="4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42" fontId="4" fillId="0" borderId="19" xfId="0" applyNumberFormat="1" applyFont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1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56" fontId="5" fillId="0" borderId="14" xfId="0" applyNumberFormat="1" applyFont="1" applyBorder="1" applyAlignment="1">
      <alignment horizontal="left" vertical="center" wrapText="1"/>
    </xf>
    <xf numFmtId="49" fontId="16" fillId="2" borderId="14" xfId="0" applyNumberFormat="1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right" vertical="center"/>
    </xf>
    <xf numFmtId="0" fontId="21" fillId="0" borderId="0" xfId="0" applyFont="1">
      <alignment vertical="center"/>
    </xf>
    <xf numFmtId="0" fontId="15" fillId="0" borderId="4" xfId="0" applyFont="1" applyBorder="1">
      <alignment vertical="center"/>
    </xf>
    <xf numFmtId="0" fontId="15" fillId="0" borderId="3" xfId="0" applyFont="1" applyBorder="1">
      <alignment vertical="center"/>
    </xf>
    <xf numFmtId="0" fontId="15" fillId="0" borderId="2" xfId="0" applyFont="1" applyBorder="1">
      <alignment vertical="center"/>
    </xf>
    <xf numFmtId="0" fontId="20" fillId="4" borderId="18" xfId="0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distributed" inden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7" fillId="0" borderId="0" xfId="0" applyFont="1" applyAlignment="1"/>
    <xf numFmtId="0" fontId="15" fillId="0" borderId="0" xfId="0" applyFont="1">
      <alignment vertical="center"/>
    </xf>
    <xf numFmtId="42" fontId="4" fillId="0" borderId="18" xfId="0" applyNumberFormat="1" applyFont="1" applyBorder="1" applyAlignment="1">
      <alignment horizontal="center" vertical="center"/>
    </xf>
    <xf numFmtId="42" fontId="4" fillId="0" borderId="20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3" fontId="16" fillId="0" borderId="1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5" fillId="0" borderId="8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6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2" xfId="0" applyFont="1" applyBorder="1">
      <alignment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distributed" indent="1"/>
    </xf>
    <xf numFmtId="0" fontId="7" fillId="0" borderId="0" xfId="0" applyFont="1" applyAlignment="1"/>
    <xf numFmtId="0" fontId="5" fillId="0" borderId="0" xfId="0" applyFont="1">
      <alignment vertical="center"/>
    </xf>
    <xf numFmtId="42" fontId="8" fillId="0" borderId="18" xfId="0" applyNumberFormat="1" applyFont="1" applyBorder="1" applyAlignment="1">
      <alignment horizontal="center" vertical="center"/>
    </xf>
    <xf numFmtId="42" fontId="8" fillId="0" borderId="20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1</xdr:row>
          <xdr:rowOff>0</xdr:rowOff>
        </xdr:from>
        <xdr:to>
          <xdr:col>8</xdr:col>
          <xdr:colOff>95250</xdr:colOff>
          <xdr:row>1</xdr:row>
          <xdr:rowOff>257175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本日付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2</xdr:row>
          <xdr:rowOff>123825</xdr:rowOff>
        </xdr:from>
        <xdr:to>
          <xdr:col>8</xdr:col>
          <xdr:colOff>390525</xdr:colOff>
          <xdr:row>3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見積書発行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285750</xdr:colOff>
          <xdr:row>1</xdr:row>
          <xdr:rowOff>0</xdr:rowOff>
        </xdr:from>
        <xdr:to>
          <xdr:col>11</xdr:col>
          <xdr:colOff>9525</xdr:colOff>
          <xdr:row>1</xdr:row>
          <xdr:rowOff>257175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日付クリア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4</xdr:row>
          <xdr:rowOff>123825</xdr:rowOff>
        </xdr:from>
        <xdr:to>
          <xdr:col>8</xdr:col>
          <xdr:colOff>390525</xdr:colOff>
          <xdr:row>5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総括表に戻る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19050</xdr:colOff>
      <xdr:row>2</xdr:row>
      <xdr:rowOff>276224</xdr:rowOff>
    </xdr:from>
    <xdr:to>
      <xdr:col>7</xdr:col>
      <xdr:colOff>28574</xdr:colOff>
      <xdr:row>5</xdr:row>
      <xdr:rowOff>266699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A6BF6FD-BF86-4B01-B947-B7888A2FEEC0}"/>
            </a:ext>
          </a:extLst>
        </xdr:cNvPr>
        <xdr:cNvGrpSpPr/>
      </xdr:nvGrpSpPr>
      <xdr:grpSpPr>
        <a:xfrm>
          <a:off x="3981450" y="942974"/>
          <a:ext cx="2247899" cy="1038225"/>
          <a:chOff x="3981450" y="942974"/>
          <a:chExt cx="2247899" cy="1038225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563B9378-7112-8438-F6CE-ADA1F52B92A6}"/>
              </a:ext>
            </a:extLst>
          </xdr:cNvPr>
          <xdr:cNvSpPr/>
        </xdr:nvSpPr>
        <xdr:spPr>
          <a:xfrm>
            <a:off x="3981450" y="942974"/>
            <a:ext cx="2238375" cy="10382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〒</a:t>
            </a:r>
            <a:r>
              <a:rPr kumimoji="1" lang="en-US" altLang="ja-JP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099-4117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北海道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斜里郡斜里町青葉町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9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番地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13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有限会社</a:t>
            </a: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横山測量設計事務所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　取締役社長　横山太郎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TEL</a:t>
            </a:r>
            <a:r>
              <a:rPr kumimoji="1" lang="en-US" altLang="ja-JP" sz="1000" baseline="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 0152-23-1311 FAX 23-0626</a:t>
            </a:r>
            <a:endParaRPr lang="ja-JP" altLang="ja-JP" sz="1000">
              <a:solidFill>
                <a:sysClr val="windowText" lastClr="000000"/>
              </a:solidFill>
              <a:effectLst/>
              <a:latin typeface="+mj-ea"/>
              <a:ea typeface="+mj-ea"/>
            </a:endParaRPr>
          </a:p>
          <a:p>
            <a:pPr algn="l"/>
            <a:endParaRPr kumimoji="1" lang="ja-JP" altLang="en-US" sz="1100">
              <a:solidFill>
                <a:sysClr val="windowText" lastClr="000000"/>
              </a:solidFill>
              <a:latin typeface="+mj-ea"/>
              <a:ea typeface="+mj-ea"/>
            </a:endParaRPr>
          </a:p>
        </xdr:txBody>
      </xdr:sp>
      <xdr:pic>
        <xdr:nvPicPr>
          <xdr:cNvPr id="4" name="図 3">
            <a:extLst>
              <a:ext uri="{FF2B5EF4-FFF2-40B4-BE49-F238E27FC236}">
                <a16:creationId xmlns:a16="http://schemas.microsoft.com/office/drawing/2014/main" id="{BD29F00C-C3B5-F6D0-DBFF-F3D37328F7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648324" y="1066801"/>
            <a:ext cx="581025" cy="60959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1</xdr:row>
          <xdr:rowOff>0</xdr:rowOff>
        </xdr:from>
        <xdr:to>
          <xdr:col>8</xdr:col>
          <xdr:colOff>95250</xdr:colOff>
          <xdr:row>1</xdr:row>
          <xdr:rowOff>257175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本日付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2</xdr:row>
          <xdr:rowOff>123825</xdr:rowOff>
        </xdr:from>
        <xdr:to>
          <xdr:col>8</xdr:col>
          <xdr:colOff>390525</xdr:colOff>
          <xdr:row>3</xdr:row>
          <xdr:rowOff>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請求書発行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285750</xdr:colOff>
          <xdr:row>1</xdr:row>
          <xdr:rowOff>0</xdr:rowOff>
        </xdr:from>
        <xdr:to>
          <xdr:col>11</xdr:col>
          <xdr:colOff>9525</xdr:colOff>
          <xdr:row>1</xdr:row>
          <xdr:rowOff>257175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日付クリア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5</xdr:row>
          <xdr:rowOff>257175</xdr:rowOff>
        </xdr:from>
        <xdr:to>
          <xdr:col>8</xdr:col>
          <xdr:colOff>390525</xdr:colOff>
          <xdr:row>6</xdr:row>
          <xdr:rowOff>133350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総括表に戻る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0</xdr:colOff>
      <xdr:row>2</xdr:row>
      <xdr:rowOff>114300</xdr:rowOff>
    </xdr:from>
    <xdr:to>
      <xdr:col>7</xdr:col>
      <xdr:colOff>9524</xdr:colOff>
      <xdr:row>6</xdr:row>
      <xdr:rowOff>171450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CCB4D78-BCC6-479F-A3B9-7830F9B38A52}"/>
            </a:ext>
          </a:extLst>
        </xdr:cNvPr>
        <xdr:cNvGrpSpPr/>
      </xdr:nvGrpSpPr>
      <xdr:grpSpPr>
        <a:xfrm>
          <a:off x="3962400" y="781050"/>
          <a:ext cx="2247899" cy="1247775"/>
          <a:chOff x="3981450" y="942974"/>
          <a:chExt cx="2247899" cy="1247775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659C9963-8FD0-6003-C9EB-60ACCBB1FD50}"/>
              </a:ext>
            </a:extLst>
          </xdr:cNvPr>
          <xdr:cNvSpPr/>
        </xdr:nvSpPr>
        <xdr:spPr>
          <a:xfrm>
            <a:off x="3981450" y="942974"/>
            <a:ext cx="2238375" cy="1247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〒</a:t>
            </a:r>
            <a:r>
              <a:rPr kumimoji="1" lang="en-US" altLang="ja-JP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099-4117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北海道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斜里郡斜里町青葉町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9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番地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13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有限会社</a:t>
            </a: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横山測量設計事務所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　取締役社長　横山太郎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TEL</a:t>
            </a:r>
            <a:r>
              <a:rPr kumimoji="1" lang="en-US" altLang="ja-JP" sz="1000" baseline="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 0152-23-1311 FAX 23-0626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aseline="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登録番号</a:t>
            </a:r>
            <a:r>
              <a:rPr kumimoji="1" lang="en-US" altLang="ja-JP" sz="1000" baseline="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T9-4603-0200-4941</a:t>
            </a:r>
            <a:endParaRPr lang="ja-JP" altLang="ja-JP" sz="1000">
              <a:solidFill>
                <a:sysClr val="windowText" lastClr="000000"/>
              </a:solidFill>
              <a:effectLst/>
              <a:latin typeface="+mj-ea"/>
              <a:ea typeface="+mj-ea"/>
            </a:endParaRPr>
          </a:p>
          <a:p>
            <a:pPr algn="l"/>
            <a:endParaRPr kumimoji="1" lang="ja-JP" altLang="en-US" sz="1100">
              <a:solidFill>
                <a:sysClr val="windowText" lastClr="000000"/>
              </a:solidFill>
              <a:latin typeface="+mj-ea"/>
              <a:ea typeface="+mj-ea"/>
            </a:endParaRPr>
          </a:p>
        </xdr:txBody>
      </xdr:sp>
      <xdr:pic>
        <xdr:nvPicPr>
          <xdr:cNvPr id="4" name="図 3">
            <a:extLst>
              <a:ext uri="{FF2B5EF4-FFF2-40B4-BE49-F238E27FC236}">
                <a16:creationId xmlns:a16="http://schemas.microsoft.com/office/drawing/2014/main" id="{7D582149-B5A4-2F55-F84C-CB0B3338EE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648324" y="1066801"/>
            <a:ext cx="581025" cy="609599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1</xdr:row>
          <xdr:rowOff>0</xdr:rowOff>
        </xdr:from>
        <xdr:to>
          <xdr:col>8</xdr:col>
          <xdr:colOff>95250</xdr:colOff>
          <xdr:row>1</xdr:row>
          <xdr:rowOff>257175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本日付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2</xdr:row>
          <xdr:rowOff>123825</xdr:rowOff>
        </xdr:from>
        <xdr:to>
          <xdr:col>8</xdr:col>
          <xdr:colOff>390525</xdr:colOff>
          <xdr:row>3</xdr:row>
          <xdr:rowOff>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見積書発行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285750</xdr:colOff>
          <xdr:row>1</xdr:row>
          <xdr:rowOff>0</xdr:rowOff>
        </xdr:from>
        <xdr:to>
          <xdr:col>11</xdr:col>
          <xdr:colOff>9525</xdr:colOff>
          <xdr:row>1</xdr:row>
          <xdr:rowOff>257175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日付クリア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4</xdr:row>
          <xdr:rowOff>123825</xdr:rowOff>
        </xdr:from>
        <xdr:to>
          <xdr:col>8</xdr:col>
          <xdr:colOff>390525</xdr:colOff>
          <xdr:row>5</xdr:row>
          <xdr:rowOff>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総括表に戻る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19050</xdr:colOff>
      <xdr:row>2</xdr:row>
      <xdr:rowOff>276224</xdr:rowOff>
    </xdr:from>
    <xdr:to>
      <xdr:col>7</xdr:col>
      <xdr:colOff>28574</xdr:colOff>
      <xdr:row>6</xdr:row>
      <xdr:rowOff>116378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CFDADF1-2CA0-4B34-BED5-155CA7B547E8}"/>
            </a:ext>
          </a:extLst>
        </xdr:cNvPr>
        <xdr:cNvGrpSpPr/>
      </xdr:nvGrpSpPr>
      <xdr:grpSpPr>
        <a:xfrm>
          <a:off x="3981450" y="942974"/>
          <a:ext cx="2247899" cy="1268904"/>
          <a:chOff x="3981450" y="942974"/>
          <a:chExt cx="2247899" cy="1263859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803F99B0-24AF-D842-2081-5D5065FA2CD9}"/>
              </a:ext>
            </a:extLst>
          </xdr:cNvPr>
          <xdr:cNvSpPr/>
        </xdr:nvSpPr>
        <xdr:spPr>
          <a:xfrm>
            <a:off x="3981450" y="942974"/>
            <a:ext cx="2238375" cy="12638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〒</a:t>
            </a:r>
            <a:r>
              <a:rPr kumimoji="1" lang="en-US" altLang="ja-JP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099-4117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北海道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斜里郡斜里町青葉町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9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番地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13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有限会社</a:t>
            </a: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横山測量設計事務所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　取締役社長　横山太郎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TEL</a:t>
            </a:r>
            <a:r>
              <a:rPr kumimoji="1" lang="en-US" altLang="ja-JP" sz="1000" baseline="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 0152-23-1311 FAX 23-0626</a:t>
            </a:r>
            <a:endParaRPr lang="ja-JP" altLang="ja-JP" sz="1000">
              <a:solidFill>
                <a:sysClr val="windowText" lastClr="000000"/>
              </a:solidFill>
              <a:effectLst/>
              <a:latin typeface="+mj-ea"/>
              <a:ea typeface="+mj-ea"/>
            </a:endParaRPr>
          </a:p>
          <a:p>
            <a:pPr algn="l"/>
            <a:endParaRPr kumimoji="1" lang="ja-JP" altLang="en-US" sz="1100">
              <a:solidFill>
                <a:sysClr val="windowText" lastClr="000000"/>
              </a:solidFill>
              <a:latin typeface="+mj-ea"/>
              <a:ea typeface="+mj-ea"/>
            </a:endParaRPr>
          </a:p>
        </xdr:txBody>
      </xdr:sp>
      <xdr:pic>
        <xdr:nvPicPr>
          <xdr:cNvPr id="4" name="図 3">
            <a:extLst>
              <a:ext uri="{FF2B5EF4-FFF2-40B4-BE49-F238E27FC236}">
                <a16:creationId xmlns:a16="http://schemas.microsoft.com/office/drawing/2014/main" id="{4B5C73E4-89A2-DA9A-626F-4C2CE1F51A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648324" y="1066801"/>
            <a:ext cx="581025" cy="609599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1</xdr:row>
          <xdr:rowOff>0</xdr:rowOff>
        </xdr:from>
        <xdr:to>
          <xdr:col>8</xdr:col>
          <xdr:colOff>95250</xdr:colOff>
          <xdr:row>1</xdr:row>
          <xdr:rowOff>257175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本日付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2</xdr:row>
          <xdr:rowOff>123825</xdr:rowOff>
        </xdr:from>
        <xdr:to>
          <xdr:col>8</xdr:col>
          <xdr:colOff>390525</xdr:colOff>
          <xdr:row>3</xdr:row>
          <xdr:rowOff>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請求書発行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285750</xdr:colOff>
          <xdr:row>1</xdr:row>
          <xdr:rowOff>0</xdr:rowOff>
        </xdr:from>
        <xdr:to>
          <xdr:col>11</xdr:col>
          <xdr:colOff>9525</xdr:colOff>
          <xdr:row>1</xdr:row>
          <xdr:rowOff>257175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日付クリア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5</xdr:row>
          <xdr:rowOff>257175</xdr:rowOff>
        </xdr:from>
        <xdr:to>
          <xdr:col>8</xdr:col>
          <xdr:colOff>390525</xdr:colOff>
          <xdr:row>6</xdr:row>
          <xdr:rowOff>133350</xdr:rowOff>
        </xdr:to>
        <xdr:sp macro="" textlink="">
          <xdr:nvSpPr>
            <xdr:cNvPr id="4100" name="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総括表に戻る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0</xdr:colOff>
      <xdr:row>2</xdr:row>
      <xdr:rowOff>114300</xdr:rowOff>
    </xdr:from>
    <xdr:to>
      <xdr:col>7</xdr:col>
      <xdr:colOff>9524</xdr:colOff>
      <xdr:row>7</xdr:row>
      <xdr:rowOff>83127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43C8CE8-B8E9-4B8F-A002-70C03522BF84}"/>
            </a:ext>
          </a:extLst>
        </xdr:cNvPr>
        <xdr:cNvGrpSpPr/>
      </xdr:nvGrpSpPr>
      <xdr:grpSpPr>
        <a:xfrm>
          <a:off x="3958167" y="781050"/>
          <a:ext cx="2253190" cy="1535160"/>
          <a:chOff x="3981450" y="942974"/>
          <a:chExt cx="2247899" cy="1540104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714FCB1A-C109-4822-30F3-518BE1039A6F}"/>
              </a:ext>
            </a:extLst>
          </xdr:cNvPr>
          <xdr:cNvSpPr/>
        </xdr:nvSpPr>
        <xdr:spPr>
          <a:xfrm>
            <a:off x="3981450" y="942974"/>
            <a:ext cx="2238375" cy="154010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〒</a:t>
            </a:r>
            <a:r>
              <a:rPr kumimoji="1" lang="en-US" altLang="ja-JP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099-4117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北海道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斜里郡斜里町青葉町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9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番地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13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有限会社</a:t>
            </a: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横山測量設計事務所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　取締役社長　横山太郎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TEL</a:t>
            </a:r>
            <a:r>
              <a:rPr kumimoji="1" lang="en-US" altLang="ja-JP" sz="1000" baseline="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 0152-23-1311 FAX 23-0626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aseline="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登録番号</a:t>
            </a:r>
            <a:r>
              <a:rPr kumimoji="1" lang="en-US" altLang="ja-JP" sz="1000" baseline="0">
                <a:solidFill>
                  <a:sysClr val="windowText" lastClr="000000"/>
                </a:solidFill>
                <a:effectLst/>
                <a:latin typeface="+mj-ea"/>
                <a:ea typeface="+mj-ea"/>
                <a:cs typeface="+mn-cs"/>
              </a:rPr>
              <a:t>T9-4603-0200-4941</a:t>
            </a:r>
            <a:endParaRPr lang="ja-JP" altLang="ja-JP" sz="1000">
              <a:solidFill>
                <a:sysClr val="windowText" lastClr="000000"/>
              </a:solidFill>
              <a:effectLst/>
              <a:latin typeface="+mj-ea"/>
              <a:ea typeface="+mj-ea"/>
            </a:endParaRPr>
          </a:p>
          <a:p>
            <a:pPr algn="l"/>
            <a:endParaRPr kumimoji="1" lang="ja-JP" altLang="en-US" sz="1100">
              <a:solidFill>
                <a:sysClr val="windowText" lastClr="000000"/>
              </a:solidFill>
              <a:latin typeface="+mj-ea"/>
              <a:ea typeface="+mj-ea"/>
            </a:endParaRPr>
          </a:p>
        </xdr:txBody>
      </xdr:sp>
      <xdr:pic>
        <xdr:nvPicPr>
          <xdr:cNvPr id="4" name="図 3">
            <a:extLst>
              <a:ext uri="{FF2B5EF4-FFF2-40B4-BE49-F238E27FC236}">
                <a16:creationId xmlns:a16="http://schemas.microsoft.com/office/drawing/2014/main" id="{6D6F465A-ABB4-C074-B265-E31697F3B9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648324" y="1066801"/>
            <a:ext cx="581025" cy="609599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4C0689\disk\14&#26465;&#65288;&#20196;&#21644;&#65297;&#65293;&#65298;&#65289;\&#35519;&#26619;&#31080;\&#35519;&#26619;&#31080;%204&#24037;&#21306;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wamura%20Taro/&#26377;&#38480;&#20250;&#31038;&#27178;&#23665;&#28204;&#37327;&#35373;&#35336;&#20107;&#21209;&#25152;%20Dropbox/&#26377;&#38480;&#20250;&#31038;&#27178;&#23665;&#28204;&#37327;&#35373;&#35336;&#20107;&#21209;&#25152;%20&#12481;&#12540;&#12512;%20&#12501;&#12457;&#12523;&#12480;/02_&#28204;&#37327;&#26989;&#21209;/23_2023&#24180;&#24230;&#28204;&#37327;&#26989;&#21209;/&#28204;&#37327;&#20107;&#26989;&#35211;&#31309;&#26360;&#12539;&#35531;&#27714;&#26360;&#12539;%20(&#27178;&#23665;&#22826;&#37070;%20&#12398;&#31478;&#21512;&#12467;&#12500;&#12540;%202024-01-17).xlsm" TargetMode="External"/><Relationship Id="rId2" Type="http://schemas.openxmlformats.org/officeDocument/2006/relationships/externalLinkPath" Target="file:///C:\Users\Iwamura%20Taro\&#26377;&#38480;&#20250;&#31038;&#27178;&#23665;&#28204;&#37327;&#35373;&#35336;&#20107;&#21209;&#25152;%20Dropbox\&#26377;&#38480;&#20250;&#31038;&#27178;&#23665;&#28204;&#37327;&#35373;&#35336;&#20107;&#21209;&#25152;%20&#12481;&#12540;&#12512;%20&#12501;&#12457;&#12523;&#12480;\02_&#28204;&#37327;&#26989;&#21209;\23_2023&#24180;&#24230;&#28204;&#37327;&#26989;&#21209;\&#28204;&#37327;&#20107;&#26989;&#35211;&#31309;&#26360;&#12539;&#35531;&#27714;&#26360;&#12539;%20(&#27178;&#23665;&#22826;&#37070;%20&#12398;&#31478;&#21512;&#12467;&#12500;&#12540;%202024-01-17).xlsm" TargetMode="External"/><Relationship Id="rId1" Type="http://schemas.openxmlformats.org/officeDocument/2006/relationships/externalLinkPath" Target="/Users/Iwamura%20Taro/&#26377;&#38480;&#20250;&#31038;&#27178;&#23665;&#28204;&#37327;&#35373;&#35336;&#20107;&#21209;&#25152;%20Dropbox/&#26377;&#38480;&#20250;&#31038;&#27178;&#23665;&#28204;&#37327;&#35373;&#35336;&#20107;&#21209;&#25152;%20&#12481;&#12540;&#12512;%20&#12501;&#12457;&#12523;&#12480;/02_&#28204;&#37327;&#26989;&#21209;/23_2023&#24180;&#24230;&#28204;&#37327;&#26989;&#21209;/&#28204;&#37327;&#20107;&#26989;&#35211;&#31309;&#26360;&#12539;&#35531;&#27714;&#26360;&#12539;%20(&#27178;&#23665;&#22826;&#37070;%20&#12398;&#31478;&#21512;&#12467;&#12500;&#12540;%202024-01-17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ニュー"/>
      <sheetName val="調査票"/>
      <sheetName val="土地調査書"/>
      <sheetName val="処理票"/>
      <sheetName val="複数筆所有者リスト"/>
      <sheetName val="重複分"/>
      <sheetName val="作業用"/>
      <sheetName val="作業用2"/>
      <sheetName val="設定"/>
      <sheetName val="調査票 (2)"/>
      <sheetName val="美山町南一丁目"/>
      <sheetName val="美山町南二丁目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総括表"/>
      <sheetName val="データ分析"/>
      <sheetName val="見積書様式"/>
      <sheetName val="請求書様式"/>
      <sheetName val="領収証様式"/>
      <sheetName val="請求書早水"/>
      <sheetName val="S04-1"/>
      <sheetName val="S04-2"/>
      <sheetName val="S06-1"/>
      <sheetName val="S07-1"/>
      <sheetName val="M09-1"/>
      <sheetName val="M09-2"/>
      <sheetName val="M09-3"/>
      <sheetName val="M11-1"/>
      <sheetName val="S11-1"/>
      <sheetName val="M12-1"/>
      <sheetName val="S12-1"/>
      <sheetName val="S13-1"/>
      <sheetName val="S14-1"/>
      <sheetName val="S15-1"/>
      <sheetName val="M16-1"/>
      <sheetName val="S16-1"/>
      <sheetName val="S19-1"/>
      <sheetName val="S20-1"/>
      <sheetName val="S21-1"/>
      <sheetName val="S22-1"/>
      <sheetName val="S25-1"/>
      <sheetName val="M26-1"/>
      <sheetName val="S26-1"/>
      <sheetName val="S27-1"/>
      <sheetName val="S29-1"/>
      <sheetName val="M28-1"/>
      <sheetName val="M28-1 (最終)"/>
      <sheetName val="S34-1"/>
      <sheetName val="S33-1"/>
      <sheetName val="S38-1"/>
      <sheetName val="M42-1"/>
      <sheetName val="S41-1"/>
      <sheetName val="S42-1"/>
      <sheetName val="S42-2"/>
      <sheetName val="S44-1"/>
      <sheetName val="S46-1"/>
      <sheetName val="S51-1"/>
      <sheetName val="M53-1"/>
      <sheetName val="S54-2"/>
      <sheetName val="S58-1 (2)"/>
      <sheetName val="S47-1"/>
      <sheetName val="M59-1 (2)"/>
      <sheetName val="S59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28">
          <cell r="F28">
            <v>497750</v>
          </cell>
        </row>
      </sheetData>
      <sheetData sheetId="4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F230-4BBD-42B4-9B0E-2D238FCD4890}">
  <sheetPr codeName="Sheet11"/>
  <dimension ref="A1:N28"/>
  <sheetViews>
    <sheetView zoomScaleNormal="100" workbookViewId="0">
      <selection activeCell="G22" sqref="G22"/>
    </sheetView>
  </sheetViews>
  <sheetFormatPr defaultColWidth="7.77734375" defaultRowHeight="14.25" x14ac:dyDescent="0.4"/>
  <cols>
    <col min="1" max="1" width="14" style="1" customWidth="1"/>
    <col min="2" max="2" width="10.5546875" style="1" customWidth="1"/>
    <col min="3" max="3" width="7" style="1" customWidth="1"/>
    <col min="4" max="4" width="6.21875" style="1" customWidth="1"/>
    <col min="5" max="5" width="8.44140625" style="1" bestFit="1" customWidth="1"/>
    <col min="6" max="6" width="9.21875" style="1" bestFit="1" customWidth="1"/>
    <col min="7" max="7" width="16.88671875" style="1" customWidth="1"/>
    <col min="8" max="16384" width="7.77734375" style="1"/>
  </cols>
  <sheetData>
    <row r="1" spans="1:14" s="2" customFormat="1" ht="30" customHeight="1" x14ac:dyDescent="0.15">
      <c r="A1" s="132" t="s">
        <v>40</v>
      </c>
      <c r="B1" s="133"/>
      <c r="C1" s="45"/>
      <c r="D1" s="48"/>
      <c r="E1" s="47" t="s">
        <v>39</v>
      </c>
      <c r="F1" s="45"/>
      <c r="G1" s="46" t="s">
        <v>38</v>
      </c>
    </row>
    <row r="2" spans="1:14" s="2" customFormat="1" ht="22.9" customHeight="1" x14ac:dyDescent="0.15">
      <c r="A2" s="45"/>
      <c r="B2" s="45"/>
      <c r="C2" s="45"/>
      <c r="D2" s="45"/>
      <c r="E2" s="45"/>
      <c r="F2" s="134">
        <v>45253</v>
      </c>
      <c r="G2" s="134"/>
    </row>
    <row r="3" spans="1:14" s="2" customFormat="1" ht="30" customHeight="1" x14ac:dyDescent="0.15">
      <c r="A3" s="110" t="s">
        <v>37</v>
      </c>
      <c r="B3" s="111"/>
      <c r="C3" s="44" t="s">
        <v>36</v>
      </c>
      <c r="D3" s="31"/>
      <c r="E3" s="31"/>
      <c r="F3" s="135"/>
      <c r="G3" s="135"/>
    </row>
    <row r="4" spans="1:14" s="2" customFormat="1" ht="22.9" customHeight="1" x14ac:dyDescent="0.15">
      <c r="A4" s="43"/>
      <c r="B4" s="43"/>
      <c r="C4" s="43"/>
      <c r="D4" s="31"/>
      <c r="E4" s="42"/>
      <c r="F4" s="136"/>
      <c r="G4" s="136"/>
    </row>
    <row r="5" spans="1:14" s="2" customFormat="1" ht="30" customHeight="1" x14ac:dyDescent="0.4">
      <c r="A5" s="41" t="s">
        <v>35</v>
      </c>
      <c r="B5" s="40"/>
      <c r="C5" s="40"/>
      <c r="D5" s="31"/>
      <c r="E5" s="31"/>
      <c r="F5" s="136"/>
      <c r="G5" s="136"/>
    </row>
    <row r="6" spans="1:14" s="2" customFormat="1" ht="30" customHeight="1" x14ac:dyDescent="0.4">
      <c r="A6" s="39" t="s">
        <v>34</v>
      </c>
      <c r="B6" s="137">
        <f>F28+'[2]M59-1 (2)'!F28</f>
        <v>1485000</v>
      </c>
      <c r="C6" s="138"/>
      <c r="D6" s="138"/>
      <c r="E6" s="38" t="s">
        <v>33</v>
      </c>
      <c r="F6" s="136"/>
      <c r="G6" s="136"/>
    </row>
    <row r="7" spans="1:14" s="2" customFormat="1" ht="30" customHeight="1" x14ac:dyDescent="0.15">
      <c r="A7" s="37"/>
      <c r="B7" s="36"/>
      <c r="C7" s="36"/>
      <c r="D7" s="31"/>
      <c r="E7" s="31"/>
      <c r="F7" s="35"/>
      <c r="G7" s="35"/>
    </row>
    <row r="8" spans="1:14" s="2" customFormat="1" ht="30" customHeight="1" x14ac:dyDescent="0.4">
      <c r="A8" s="34" t="s">
        <v>32</v>
      </c>
      <c r="B8" s="116" t="s">
        <v>31</v>
      </c>
      <c r="C8" s="116"/>
      <c r="D8" s="116"/>
      <c r="E8" s="116"/>
      <c r="F8" s="116"/>
      <c r="G8" s="116"/>
    </row>
    <row r="9" spans="1:14" s="2" customFormat="1" ht="30" customHeight="1" x14ac:dyDescent="0.4">
      <c r="A9" s="33"/>
      <c r="B9" s="31"/>
      <c r="C9" s="32"/>
      <c r="D9" s="31"/>
      <c r="E9" s="31"/>
      <c r="F9" s="31"/>
      <c r="G9" s="30"/>
    </row>
    <row r="10" spans="1:14" s="27" customFormat="1" ht="26.65" customHeight="1" x14ac:dyDescent="0.4">
      <c r="A10" s="29" t="s">
        <v>30</v>
      </c>
      <c r="B10" s="29" t="s">
        <v>29</v>
      </c>
      <c r="C10" s="29" t="s">
        <v>28</v>
      </c>
      <c r="D10" s="29" t="s">
        <v>27</v>
      </c>
      <c r="E10" s="29" t="s">
        <v>26</v>
      </c>
      <c r="F10" s="29" t="s">
        <v>25</v>
      </c>
      <c r="G10" s="29" t="s">
        <v>24</v>
      </c>
    </row>
    <row r="11" spans="1:14" s="27" customFormat="1" ht="26.65" customHeight="1" x14ac:dyDescent="0.4">
      <c r="A11" s="28" t="s">
        <v>23</v>
      </c>
      <c r="B11" s="24" t="s">
        <v>22</v>
      </c>
      <c r="C11" s="22">
        <v>5</v>
      </c>
      <c r="D11" s="21" t="s">
        <v>21</v>
      </c>
      <c r="E11" s="20">
        <v>16800</v>
      </c>
      <c r="F11" s="13">
        <f t="shared" ref="F11:F25" si="0">IF(C11="","",C11*E11)</f>
        <v>84000</v>
      </c>
      <c r="G11" s="19" t="s">
        <v>20</v>
      </c>
    </row>
    <row r="12" spans="1:14" s="27" customFormat="1" ht="26.65" customHeight="1" x14ac:dyDescent="0.4">
      <c r="A12" s="24"/>
      <c r="B12" s="24" t="s">
        <v>19</v>
      </c>
      <c r="C12" s="22">
        <v>0.75</v>
      </c>
      <c r="D12" s="21" t="s">
        <v>11</v>
      </c>
      <c r="E12" s="20">
        <v>82000</v>
      </c>
      <c r="F12" s="13">
        <f t="shared" si="0"/>
        <v>61500</v>
      </c>
      <c r="G12" s="19" t="s">
        <v>18</v>
      </c>
    </row>
    <row r="13" spans="1:14" s="2" customFormat="1" ht="26.65" customHeight="1" x14ac:dyDescent="0.4">
      <c r="A13" s="24"/>
      <c r="B13" s="24" t="s">
        <v>17</v>
      </c>
      <c r="C13" s="22">
        <v>25</v>
      </c>
      <c r="D13" s="21" t="s">
        <v>9</v>
      </c>
      <c r="E13" s="20">
        <v>6800</v>
      </c>
      <c r="F13" s="13">
        <f t="shared" si="0"/>
        <v>170000</v>
      </c>
      <c r="G13" s="19" t="s">
        <v>16</v>
      </c>
    </row>
    <row r="14" spans="1:14" s="2" customFormat="1" ht="26.65" customHeight="1" x14ac:dyDescent="0.4">
      <c r="A14" s="24"/>
      <c r="B14" s="24" t="s">
        <v>15</v>
      </c>
      <c r="C14" s="22">
        <v>1</v>
      </c>
      <c r="D14" s="21" t="s">
        <v>4</v>
      </c>
      <c r="E14" s="20">
        <v>60000</v>
      </c>
      <c r="F14" s="13">
        <f t="shared" si="0"/>
        <v>60000</v>
      </c>
      <c r="G14" s="25"/>
      <c r="N14" s="2" t="s">
        <v>14</v>
      </c>
    </row>
    <row r="15" spans="1:14" s="2" customFormat="1" ht="26.65" customHeight="1" x14ac:dyDescent="0.4">
      <c r="A15" s="24"/>
      <c r="B15" s="24" t="s">
        <v>5</v>
      </c>
      <c r="C15" s="22">
        <v>1</v>
      </c>
      <c r="D15" s="21" t="s">
        <v>4</v>
      </c>
      <c r="E15" s="20">
        <v>70000</v>
      </c>
      <c r="F15" s="13">
        <f t="shared" si="0"/>
        <v>70000</v>
      </c>
      <c r="G15" s="25" t="s">
        <v>13</v>
      </c>
    </row>
    <row r="16" spans="1:14" s="2" customFormat="1" ht="26.65" customHeight="1" x14ac:dyDescent="0.4">
      <c r="A16" s="24"/>
      <c r="B16" s="24" t="s">
        <v>12</v>
      </c>
      <c r="C16" s="22">
        <v>1</v>
      </c>
      <c r="D16" s="21" t="s">
        <v>11</v>
      </c>
      <c r="E16" s="20">
        <v>120000</v>
      </c>
      <c r="F16" s="13">
        <f t="shared" si="0"/>
        <v>120000</v>
      </c>
      <c r="G16" s="25"/>
    </row>
    <row r="17" spans="1:7" s="2" customFormat="1" ht="26.65" customHeight="1" x14ac:dyDescent="0.4">
      <c r="A17" s="24"/>
      <c r="B17" s="24" t="s">
        <v>10</v>
      </c>
      <c r="C17" s="22">
        <v>25</v>
      </c>
      <c r="D17" s="21" t="s">
        <v>9</v>
      </c>
      <c r="E17" s="20">
        <v>3000</v>
      </c>
      <c r="F17" s="13">
        <f t="shared" si="0"/>
        <v>75000</v>
      </c>
      <c r="G17" s="25"/>
    </row>
    <row r="18" spans="1:7" s="2" customFormat="1" ht="26.65" customHeight="1" x14ac:dyDescent="0.4">
      <c r="A18" s="24"/>
      <c r="B18" s="24" t="s">
        <v>8</v>
      </c>
      <c r="C18" s="22">
        <v>1</v>
      </c>
      <c r="D18" s="21" t="s">
        <v>4</v>
      </c>
      <c r="E18" s="20">
        <v>30000</v>
      </c>
      <c r="F18" s="13">
        <f t="shared" si="0"/>
        <v>30000</v>
      </c>
      <c r="G18" s="25"/>
    </row>
    <row r="19" spans="1:7" s="2" customFormat="1" ht="26.65" customHeight="1" x14ac:dyDescent="0.4">
      <c r="A19" s="24"/>
      <c r="B19" s="24"/>
      <c r="C19" s="22"/>
      <c r="D19" s="21"/>
      <c r="E19" s="20"/>
      <c r="F19" s="13" t="str">
        <f t="shared" si="0"/>
        <v/>
      </c>
      <c r="G19" s="25"/>
    </row>
    <row r="20" spans="1:7" s="2" customFormat="1" ht="26.65" customHeight="1" x14ac:dyDescent="0.4">
      <c r="A20" s="24"/>
      <c r="B20" s="26"/>
      <c r="C20" s="22"/>
      <c r="D20" s="21"/>
      <c r="E20" s="20"/>
      <c r="F20" s="13" t="str">
        <f t="shared" si="0"/>
        <v/>
      </c>
      <c r="G20" s="25"/>
    </row>
    <row r="21" spans="1:7" s="2" customFormat="1" ht="26.65" customHeight="1" x14ac:dyDescent="0.4">
      <c r="A21" s="24" t="s">
        <v>7</v>
      </c>
      <c r="B21" s="26" t="s">
        <v>6</v>
      </c>
      <c r="C21" s="22">
        <v>1</v>
      </c>
      <c r="D21" s="21" t="s">
        <v>4</v>
      </c>
      <c r="E21" s="20">
        <v>150000</v>
      </c>
      <c r="F21" s="13">
        <f t="shared" si="0"/>
        <v>150000</v>
      </c>
      <c r="G21" s="25"/>
    </row>
    <row r="22" spans="1:7" s="2" customFormat="1" ht="26.65" customHeight="1" x14ac:dyDescent="0.4">
      <c r="A22" s="24"/>
      <c r="B22" s="26" t="s">
        <v>5</v>
      </c>
      <c r="C22" s="22">
        <v>1</v>
      </c>
      <c r="D22" s="21" t="s">
        <v>4</v>
      </c>
      <c r="E22" s="20">
        <v>77000</v>
      </c>
      <c r="F22" s="13">
        <f t="shared" si="0"/>
        <v>77000</v>
      </c>
      <c r="G22" s="25" t="s">
        <v>3</v>
      </c>
    </row>
    <row r="23" spans="1:7" s="2" customFormat="1" ht="26.65" customHeight="1" x14ac:dyDescent="0.4">
      <c r="A23" s="24"/>
      <c r="B23" s="26"/>
      <c r="C23" s="22"/>
      <c r="D23" s="21"/>
      <c r="E23" s="20"/>
      <c r="F23" s="13" t="str">
        <f t="shared" si="0"/>
        <v/>
      </c>
      <c r="G23" s="25"/>
    </row>
    <row r="24" spans="1:7" s="2" customFormat="1" ht="26.65" customHeight="1" x14ac:dyDescent="0.4">
      <c r="A24" s="24"/>
      <c r="B24" s="23"/>
      <c r="C24" s="22"/>
      <c r="D24" s="21"/>
      <c r="E24" s="20"/>
      <c r="F24" s="13" t="str">
        <f t="shared" si="0"/>
        <v/>
      </c>
      <c r="G24" s="19"/>
    </row>
    <row r="25" spans="1:7" s="2" customFormat="1" ht="26.65" customHeight="1" thickBot="1" x14ac:dyDescent="0.45">
      <c r="A25" s="18"/>
      <c r="B25" s="17"/>
      <c r="C25" s="16"/>
      <c r="D25" s="15"/>
      <c r="E25" s="14"/>
      <c r="F25" s="13" t="str">
        <f t="shared" si="0"/>
        <v/>
      </c>
      <c r="G25" s="12"/>
    </row>
    <row r="26" spans="1:7" s="2" customFormat="1" ht="26.65" customHeight="1" thickTop="1" x14ac:dyDescent="0.4">
      <c r="A26" s="123"/>
      <c r="B26" s="124"/>
      <c r="C26" s="124"/>
      <c r="D26" s="125"/>
      <c r="E26" s="11" t="s">
        <v>2</v>
      </c>
      <c r="F26" s="10">
        <f>SUM(F11:F25)</f>
        <v>897500</v>
      </c>
      <c r="G26" s="9"/>
    </row>
    <row r="27" spans="1:7" s="2" customFormat="1" ht="26.65" customHeight="1" x14ac:dyDescent="0.4">
      <c r="A27" s="126"/>
      <c r="B27" s="127"/>
      <c r="C27" s="127"/>
      <c r="D27" s="128"/>
      <c r="E27" s="8" t="s">
        <v>1</v>
      </c>
      <c r="F27" s="7">
        <f>INT(F26*0.1)</f>
        <v>89750</v>
      </c>
      <c r="G27" s="6">
        <v>0.1</v>
      </c>
    </row>
    <row r="28" spans="1:7" s="2" customFormat="1" ht="26.65" customHeight="1" x14ac:dyDescent="0.4">
      <c r="A28" s="129"/>
      <c r="B28" s="130"/>
      <c r="C28" s="130"/>
      <c r="D28" s="131"/>
      <c r="E28" s="5" t="s">
        <v>0</v>
      </c>
      <c r="F28" s="4">
        <f>SUM(F26:F27)</f>
        <v>987250</v>
      </c>
      <c r="G28" s="3"/>
    </row>
  </sheetData>
  <mergeCells count="12">
    <mergeCell ref="A26:D26"/>
    <mergeCell ref="A27:D27"/>
    <mergeCell ref="A28:D28"/>
    <mergeCell ref="A1:B1"/>
    <mergeCell ref="F2:G2"/>
    <mergeCell ref="A3:B3"/>
    <mergeCell ref="F3:G3"/>
    <mergeCell ref="F4:G4"/>
    <mergeCell ref="F5:G5"/>
    <mergeCell ref="B6:D6"/>
    <mergeCell ref="F6:G6"/>
    <mergeCell ref="B8:G8"/>
  </mergeCells>
  <phoneticPr fontId="3"/>
  <dataValidations count="2">
    <dataValidation type="list" errorStyle="warning" allowBlank="1" showInputMessage="1" sqref="D11:D25" xr:uid="{72F433A0-6710-4A52-9587-BD9F27BB0780}">
      <formula1>"式,点,回,m,km,ha,件"</formula1>
    </dataValidation>
    <dataValidation type="list" allowBlank="1" showInputMessage="1" showErrorMessage="1" sqref="C3" xr:uid="{617F6BD3-3545-4A39-B394-2C1E008EFDE7}">
      <formula1>"御中,様"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ボタン1_Click">
                <anchor moveWithCells="1" sizeWithCells="1">
                  <from>
                    <xdr:col>7</xdr:col>
                    <xdr:colOff>47625</xdr:colOff>
                    <xdr:row>1</xdr:row>
                    <xdr:rowOff>0</xdr:rowOff>
                  </from>
                  <to>
                    <xdr:col>8</xdr:col>
                    <xdr:colOff>95250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見積書発行">
                <anchor moveWithCells="1" sizeWithCells="1">
                  <from>
                    <xdr:col>7</xdr:col>
                    <xdr:colOff>28575</xdr:colOff>
                    <xdr:row>2</xdr:row>
                    <xdr:rowOff>123825</xdr:rowOff>
                  </from>
                  <to>
                    <xdr:col>8</xdr:col>
                    <xdr:colOff>390525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ボタン2_Click">
                <anchor moveWithCells="1" sizeWithCells="1">
                  <from>
                    <xdr:col>9</xdr:col>
                    <xdr:colOff>285750</xdr:colOff>
                    <xdr:row>1</xdr:row>
                    <xdr:rowOff>0</xdr:rowOff>
                  </from>
                  <to>
                    <xdr:col>11</xdr:col>
                    <xdr:colOff>9525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 macro="[0]!総括表表示">
                <anchor moveWithCells="1" sizeWithCells="1">
                  <from>
                    <xdr:col>7</xdr:col>
                    <xdr:colOff>28575</xdr:colOff>
                    <xdr:row>4</xdr:row>
                    <xdr:rowOff>123825</xdr:rowOff>
                  </from>
                  <to>
                    <xdr:col>8</xdr:col>
                    <xdr:colOff>390525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679B-E86D-4014-8287-79EF9DA83DDA}">
  <dimension ref="A1:G35"/>
  <sheetViews>
    <sheetView view="pageBreakPreview" topLeftCell="A19" zoomScaleNormal="100" zoomScaleSheetLayoutView="100" workbookViewId="0">
      <selection activeCell="B6" sqref="B6:D6"/>
    </sheetView>
  </sheetViews>
  <sheetFormatPr defaultColWidth="7.77734375" defaultRowHeight="14.25" x14ac:dyDescent="0.4"/>
  <cols>
    <col min="1" max="1" width="14" style="1" customWidth="1"/>
    <col min="2" max="2" width="10.5546875" style="1" customWidth="1"/>
    <col min="3" max="3" width="7" style="1" customWidth="1"/>
    <col min="4" max="4" width="6.21875" style="1" customWidth="1"/>
    <col min="5" max="5" width="8.44140625" style="1" bestFit="1" customWidth="1"/>
    <col min="6" max="6" width="9.21875" style="1" bestFit="1" customWidth="1"/>
    <col min="7" max="7" width="16.88671875" style="1" customWidth="1"/>
    <col min="8" max="16384" width="7.77734375" style="1"/>
  </cols>
  <sheetData>
    <row r="1" spans="1:7" s="2" customFormat="1" ht="30" customHeight="1" x14ac:dyDescent="0.4">
      <c r="A1" s="107" t="s">
        <v>53</v>
      </c>
      <c r="B1" s="108"/>
      <c r="C1" s="99"/>
      <c r="D1" s="99"/>
      <c r="E1" s="99"/>
      <c r="F1" s="99"/>
      <c r="G1" s="99" t="s">
        <v>52</v>
      </c>
    </row>
    <row r="2" spans="1:7" s="2" customFormat="1" ht="22.9" customHeight="1" x14ac:dyDescent="0.15">
      <c r="A2" s="99"/>
      <c r="B2" s="99"/>
      <c r="C2" s="99"/>
      <c r="D2" s="99"/>
      <c r="E2" s="99"/>
      <c r="F2" s="109">
        <v>45301</v>
      </c>
      <c r="G2" s="109"/>
    </row>
    <row r="3" spans="1:7" s="2" customFormat="1" ht="30" customHeight="1" x14ac:dyDescent="0.15">
      <c r="A3" s="139" t="s">
        <v>37</v>
      </c>
      <c r="B3" s="140"/>
      <c r="C3" s="98" t="s">
        <v>36</v>
      </c>
      <c r="F3" s="112"/>
      <c r="G3" s="112"/>
    </row>
    <row r="4" spans="1:7" s="2" customFormat="1" ht="12" customHeight="1" x14ac:dyDescent="0.4">
      <c r="A4" s="97"/>
      <c r="B4" s="97"/>
      <c r="C4" s="97"/>
      <c r="F4" s="113"/>
      <c r="G4" s="113"/>
    </row>
    <row r="5" spans="1:7" s="2" customFormat="1" ht="21.75" customHeight="1" x14ac:dyDescent="0.4">
      <c r="A5" s="96" t="s">
        <v>51</v>
      </c>
      <c r="B5" s="95"/>
      <c r="C5" s="95"/>
      <c r="F5" s="113"/>
      <c r="G5" s="113"/>
    </row>
    <row r="6" spans="1:7" s="2" customFormat="1" ht="30" customHeight="1" x14ac:dyDescent="0.4">
      <c r="A6" s="94" t="s">
        <v>50</v>
      </c>
      <c r="B6" s="114">
        <f>F31</f>
        <v>1485000</v>
      </c>
      <c r="C6" s="115"/>
      <c r="D6" s="115"/>
      <c r="E6" s="93" t="s">
        <v>33</v>
      </c>
      <c r="F6" s="113"/>
      <c r="G6" s="113"/>
    </row>
    <row r="7" spans="1:7" s="2" customFormat="1" ht="30" customHeight="1" x14ac:dyDescent="0.15">
      <c r="A7" s="92"/>
      <c r="B7" s="91"/>
      <c r="C7" s="91"/>
      <c r="F7" s="90"/>
      <c r="G7" s="90"/>
    </row>
    <row r="8" spans="1:7" s="2" customFormat="1" ht="30" customHeight="1" x14ac:dyDescent="0.4">
      <c r="A8" s="89" t="s">
        <v>32</v>
      </c>
      <c r="B8" s="141" t="s">
        <v>31</v>
      </c>
      <c r="C8" s="141"/>
      <c r="D8" s="141"/>
      <c r="E8" s="141"/>
      <c r="F8" s="141"/>
      <c r="G8" s="141"/>
    </row>
    <row r="9" spans="1:7" s="2" customFormat="1" ht="12" customHeight="1" x14ac:dyDescent="0.4">
      <c r="A9" s="88"/>
      <c r="C9" s="27"/>
      <c r="G9" s="87"/>
    </row>
    <row r="10" spans="1:7" s="27" customFormat="1" ht="26.65" customHeight="1" x14ac:dyDescent="0.4">
      <c r="A10" s="86" t="s">
        <v>30</v>
      </c>
      <c r="B10" s="86" t="s">
        <v>29</v>
      </c>
      <c r="C10" s="86" t="s">
        <v>28</v>
      </c>
      <c r="D10" s="86" t="s">
        <v>27</v>
      </c>
      <c r="E10" s="86" t="s">
        <v>26</v>
      </c>
      <c r="F10" s="86" t="s">
        <v>25</v>
      </c>
      <c r="G10" s="86" t="s">
        <v>24</v>
      </c>
    </row>
    <row r="11" spans="1:7" s="27" customFormat="1" ht="26.65" customHeight="1" x14ac:dyDescent="0.4">
      <c r="A11" s="85" t="s">
        <v>23</v>
      </c>
      <c r="B11" s="76" t="s">
        <v>22</v>
      </c>
      <c r="C11" s="75">
        <v>5</v>
      </c>
      <c r="D11" s="74" t="s">
        <v>21</v>
      </c>
      <c r="E11" s="73">
        <v>16800</v>
      </c>
      <c r="F11" s="84">
        <f t="shared" ref="F11:F28" si="0">IF(C11="","",C11*E11)</f>
        <v>84000</v>
      </c>
      <c r="G11" s="83" t="s">
        <v>20</v>
      </c>
    </row>
    <row r="12" spans="1:7" s="27" customFormat="1" ht="26.65" customHeight="1" x14ac:dyDescent="0.4">
      <c r="A12" s="76"/>
      <c r="B12" s="76" t="s">
        <v>19</v>
      </c>
      <c r="C12" s="75">
        <v>0.75</v>
      </c>
      <c r="D12" s="74" t="s">
        <v>11</v>
      </c>
      <c r="E12" s="73">
        <v>82000</v>
      </c>
      <c r="F12" s="78">
        <f t="shared" si="0"/>
        <v>61500</v>
      </c>
      <c r="G12" s="77" t="s">
        <v>18</v>
      </c>
    </row>
    <row r="13" spans="1:7" s="2" customFormat="1" ht="26.65" customHeight="1" x14ac:dyDescent="0.4">
      <c r="A13" s="76"/>
      <c r="B13" s="76" t="s">
        <v>17</v>
      </c>
      <c r="C13" s="75">
        <v>25</v>
      </c>
      <c r="D13" s="74" t="s">
        <v>9</v>
      </c>
      <c r="E13" s="73">
        <v>6800</v>
      </c>
      <c r="F13" s="78">
        <f t="shared" si="0"/>
        <v>170000</v>
      </c>
      <c r="G13" s="77" t="s">
        <v>16</v>
      </c>
    </row>
    <row r="14" spans="1:7" s="2" customFormat="1" ht="26.65" customHeight="1" x14ac:dyDescent="0.4">
      <c r="A14" s="76"/>
      <c r="B14" s="76" t="s">
        <v>15</v>
      </c>
      <c r="C14" s="75">
        <v>1</v>
      </c>
      <c r="D14" s="74" t="s">
        <v>4</v>
      </c>
      <c r="E14" s="73">
        <v>60000</v>
      </c>
      <c r="F14" s="78">
        <f t="shared" si="0"/>
        <v>60000</v>
      </c>
      <c r="G14" s="77"/>
    </row>
    <row r="15" spans="1:7" s="2" customFormat="1" ht="26.65" customHeight="1" x14ac:dyDescent="0.4">
      <c r="A15" s="76"/>
      <c r="B15" s="76" t="s">
        <v>5</v>
      </c>
      <c r="C15" s="75">
        <v>1</v>
      </c>
      <c r="D15" s="74" t="s">
        <v>4</v>
      </c>
      <c r="E15" s="73">
        <v>70000</v>
      </c>
      <c r="F15" s="78">
        <f t="shared" si="0"/>
        <v>70000</v>
      </c>
      <c r="G15" s="79" t="s">
        <v>13</v>
      </c>
    </row>
    <row r="16" spans="1:7" s="2" customFormat="1" ht="26.65" customHeight="1" x14ac:dyDescent="0.4">
      <c r="A16" s="76"/>
      <c r="B16" s="76" t="s">
        <v>12</v>
      </c>
      <c r="C16" s="75">
        <v>1</v>
      </c>
      <c r="D16" s="74" t="s">
        <v>11</v>
      </c>
      <c r="E16" s="73">
        <v>120000</v>
      </c>
      <c r="F16" s="78">
        <f t="shared" si="0"/>
        <v>120000</v>
      </c>
      <c r="G16" s="79"/>
    </row>
    <row r="17" spans="1:7" s="2" customFormat="1" ht="26.65" customHeight="1" x14ac:dyDescent="0.4">
      <c r="A17" s="76"/>
      <c r="B17" s="76" t="s">
        <v>47</v>
      </c>
      <c r="C17" s="75">
        <v>25</v>
      </c>
      <c r="D17" s="74" t="s">
        <v>9</v>
      </c>
      <c r="E17" s="73">
        <v>3000</v>
      </c>
      <c r="F17" s="78">
        <f t="shared" si="0"/>
        <v>75000</v>
      </c>
      <c r="G17" s="79"/>
    </row>
    <row r="18" spans="1:7" s="2" customFormat="1" ht="26.65" customHeight="1" x14ac:dyDescent="0.4">
      <c r="A18" s="76"/>
      <c r="B18" s="76" t="s">
        <v>8</v>
      </c>
      <c r="C18" s="75">
        <v>1</v>
      </c>
      <c r="D18" s="74" t="s">
        <v>4</v>
      </c>
      <c r="E18" s="73">
        <v>30000</v>
      </c>
      <c r="F18" s="78">
        <f t="shared" si="0"/>
        <v>30000</v>
      </c>
      <c r="G18" s="79"/>
    </row>
    <row r="19" spans="1:7" s="2" customFormat="1" ht="26.65" customHeight="1" x14ac:dyDescent="0.4">
      <c r="A19" s="76" t="s">
        <v>7</v>
      </c>
      <c r="B19" s="81" t="s">
        <v>49</v>
      </c>
      <c r="C19" s="75">
        <v>1</v>
      </c>
      <c r="D19" s="74" t="s">
        <v>4</v>
      </c>
      <c r="E19" s="73">
        <v>150000</v>
      </c>
      <c r="F19" s="78">
        <f t="shared" si="0"/>
        <v>150000</v>
      </c>
      <c r="G19" s="79"/>
    </row>
    <row r="20" spans="1:7" s="2" customFormat="1" ht="26.65" customHeight="1" x14ac:dyDescent="0.4">
      <c r="A20" s="82"/>
      <c r="B20" s="81" t="s">
        <v>5</v>
      </c>
      <c r="C20" s="75">
        <v>1</v>
      </c>
      <c r="D20" s="74" t="s">
        <v>4</v>
      </c>
      <c r="E20" s="73">
        <v>77000</v>
      </c>
      <c r="F20" s="78">
        <f t="shared" si="0"/>
        <v>77000</v>
      </c>
      <c r="G20" s="79" t="s">
        <v>3</v>
      </c>
    </row>
    <row r="21" spans="1:7" s="2" customFormat="1" ht="26.65" customHeight="1" x14ac:dyDescent="0.4">
      <c r="A21" s="80" t="s">
        <v>48</v>
      </c>
      <c r="B21" s="76" t="s">
        <v>22</v>
      </c>
      <c r="C21" s="75">
        <v>4</v>
      </c>
      <c r="D21" s="74" t="s">
        <v>21</v>
      </c>
      <c r="E21" s="73">
        <v>16800</v>
      </c>
      <c r="F21" s="78">
        <f t="shared" si="0"/>
        <v>67200</v>
      </c>
      <c r="G21" s="79" t="s">
        <v>20</v>
      </c>
    </row>
    <row r="22" spans="1:7" s="2" customFormat="1" ht="26.65" customHeight="1" x14ac:dyDescent="0.4">
      <c r="A22" s="76"/>
      <c r="B22" s="76" t="s">
        <v>19</v>
      </c>
      <c r="C22" s="75">
        <v>0.3</v>
      </c>
      <c r="D22" s="74" t="s">
        <v>11</v>
      </c>
      <c r="E22" s="73">
        <v>82000</v>
      </c>
      <c r="F22" s="78">
        <f t="shared" si="0"/>
        <v>24600</v>
      </c>
      <c r="G22" s="79" t="s">
        <v>18</v>
      </c>
    </row>
    <row r="23" spans="1:7" s="2" customFormat="1" ht="26.65" customHeight="1" x14ac:dyDescent="0.4">
      <c r="A23" s="76"/>
      <c r="B23" s="76" t="s">
        <v>17</v>
      </c>
      <c r="C23" s="75">
        <v>13</v>
      </c>
      <c r="D23" s="74" t="s">
        <v>9</v>
      </c>
      <c r="E23" s="73">
        <v>6800</v>
      </c>
      <c r="F23" s="78">
        <f t="shared" si="0"/>
        <v>88400</v>
      </c>
      <c r="G23" s="79" t="s">
        <v>16</v>
      </c>
    </row>
    <row r="24" spans="1:7" s="2" customFormat="1" ht="26.65" customHeight="1" x14ac:dyDescent="0.4">
      <c r="A24" s="76"/>
      <c r="B24" s="76" t="s">
        <v>15</v>
      </c>
      <c r="C24" s="75">
        <v>1</v>
      </c>
      <c r="D24" s="74" t="s">
        <v>4</v>
      </c>
      <c r="E24" s="73">
        <v>60000</v>
      </c>
      <c r="F24" s="78">
        <f t="shared" si="0"/>
        <v>60000</v>
      </c>
      <c r="G24" s="79"/>
    </row>
    <row r="25" spans="1:7" s="2" customFormat="1" ht="26.65" customHeight="1" x14ac:dyDescent="0.4">
      <c r="A25" s="76"/>
      <c r="B25" s="76" t="s">
        <v>5</v>
      </c>
      <c r="C25" s="75">
        <v>1</v>
      </c>
      <c r="D25" s="74" t="s">
        <v>4</v>
      </c>
      <c r="E25" s="73">
        <v>70000</v>
      </c>
      <c r="F25" s="78">
        <f t="shared" si="0"/>
        <v>70000</v>
      </c>
      <c r="G25" s="79" t="s">
        <v>13</v>
      </c>
    </row>
    <row r="26" spans="1:7" s="2" customFormat="1" ht="26.65" customHeight="1" x14ac:dyDescent="0.4">
      <c r="A26" s="76"/>
      <c r="B26" s="76" t="s">
        <v>12</v>
      </c>
      <c r="C26" s="75">
        <v>1</v>
      </c>
      <c r="D26" s="74" t="s">
        <v>11</v>
      </c>
      <c r="E26" s="73">
        <v>120000</v>
      </c>
      <c r="F26" s="78">
        <f t="shared" si="0"/>
        <v>120000</v>
      </c>
      <c r="G26" s="79"/>
    </row>
    <row r="27" spans="1:7" s="2" customFormat="1" ht="26.65" customHeight="1" x14ac:dyDescent="0.4">
      <c r="A27" s="76"/>
      <c r="B27" s="76" t="s">
        <v>47</v>
      </c>
      <c r="C27" s="75">
        <v>13</v>
      </c>
      <c r="D27" s="74" t="s">
        <v>9</v>
      </c>
      <c r="E27" s="73">
        <v>3000</v>
      </c>
      <c r="F27" s="78">
        <f t="shared" si="0"/>
        <v>39000</v>
      </c>
      <c r="G27" s="77"/>
    </row>
    <row r="28" spans="1:7" s="2" customFormat="1" ht="26.65" customHeight="1" thickBot="1" x14ac:dyDescent="0.45">
      <c r="A28" s="76"/>
      <c r="B28" s="76" t="s">
        <v>8</v>
      </c>
      <c r="C28" s="75">
        <v>1</v>
      </c>
      <c r="D28" s="74" t="s">
        <v>4</v>
      </c>
      <c r="E28" s="73">
        <v>30000</v>
      </c>
      <c r="F28" s="72">
        <f t="shared" si="0"/>
        <v>30000</v>
      </c>
      <c r="G28" s="71"/>
    </row>
    <row r="29" spans="1:7" s="2" customFormat="1" ht="26.65" customHeight="1" thickTop="1" x14ac:dyDescent="0.4">
      <c r="A29" s="117" t="s">
        <v>46</v>
      </c>
      <c r="B29" s="118"/>
      <c r="C29" s="118"/>
      <c r="D29" s="119"/>
      <c r="E29" s="70" t="s">
        <v>2</v>
      </c>
      <c r="F29" s="69">
        <f>SUM(F11:F28)-46700</f>
        <v>1350000</v>
      </c>
      <c r="G29" s="68"/>
    </row>
    <row r="30" spans="1:7" s="2" customFormat="1" ht="26.65" customHeight="1" x14ac:dyDescent="0.4">
      <c r="A30" s="120"/>
      <c r="B30" s="121"/>
      <c r="C30" s="121"/>
      <c r="D30" s="122"/>
      <c r="E30" s="67" t="s">
        <v>1</v>
      </c>
      <c r="F30" s="66">
        <f>INT(F29*0.1)</f>
        <v>135000</v>
      </c>
      <c r="G30" s="65">
        <v>0.1</v>
      </c>
    </row>
    <row r="31" spans="1:7" s="2" customFormat="1" ht="26.65" customHeight="1" x14ac:dyDescent="0.4">
      <c r="A31" s="104"/>
      <c r="B31" s="105"/>
      <c r="C31" s="105"/>
      <c r="D31" s="106"/>
      <c r="E31" s="64" t="s">
        <v>0</v>
      </c>
      <c r="F31" s="63">
        <f>SUM(F29:F30)</f>
        <v>1485000</v>
      </c>
      <c r="G31" s="62"/>
    </row>
    <row r="33" spans="1:7" ht="16.5" customHeight="1" x14ac:dyDescent="0.4">
      <c r="A33" s="61" t="s">
        <v>45</v>
      </c>
      <c r="B33" s="60"/>
      <c r="C33" s="60"/>
      <c r="D33" s="60"/>
      <c r="E33" s="60"/>
      <c r="F33" s="59"/>
      <c r="G33" s="58"/>
    </row>
    <row r="34" spans="1:7" ht="16.5" customHeight="1" x14ac:dyDescent="0.4">
      <c r="A34" s="57" t="s">
        <v>44</v>
      </c>
      <c r="D34" s="56" t="s">
        <v>43</v>
      </c>
      <c r="F34" s="55"/>
      <c r="G34" s="54"/>
    </row>
    <row r="35" spans="1:7" ht="16.5" customHeight="1" x14ac:dyDescent="0.4">
      <c r="A35" s="53" t="s">
        <v>42</v>
      </c>
      <c r="B35" s="51"/>
      <c r="C35" s="51"/>
      <c r="D35" s="52" t="s">
        <v>41</v>
      </c>
      <c r="E35" s="51"/>
      <c r="F35" s="50"/>
      <c r="G35" s="49"/>
    </row>
  </sheetData>
  <mergeCells count="12">
    <mergeCell ref="B8:G8"/>
    <mergeCell ref="A29:D29"/>
    <mergeCell ref="A30:D30"/>
    <mergeCell ref="A31:D31"/>
    <mergeCell ref="F5:G5"/>
    <mergeCell ref="B6:D6"/>
    <mergeCell ref="F6:G6"/>
    <mergeCell ref="A1:B1"/>
    <mergeCell ref="F2:G2"/>
    <mergeCell ref="A3:B3"/>
    <mergeCell ref="F3:G3"/>
    <mergeCell ref="F4:G4"/>
  </mergeCells>
  <phoneticPr fontId="3"/>
  <dataValidations count="2">
    <dataValidation type="list" errorStyle="warning" allowBlank="1" showInputMessage="1" sqref="D11:D28" xr:uid="{CDC30CCA-B07A-4CA9-811D-205B4DBF8A14}">
      <formula1>"式,点,回,m,km,ha,件"</formula1>
    </dataValidation>
    <dataValidation type="list" allowBlank="1" showInputMessage="1" showErrorMessage="1" sqref="C3" xr:uid="{3A2CC56F-512E-46C7-B6C7-C0FB68C67DDF}">
      <formula1>"御中,様"</formula1>
    </dataValidation>
  </dataValidations>
  <pageMargins left="0.7" right="0.7" top="0.75" bottom="0.75" header="0.3" footer="0.3"/>
  <pageSetup paperSize="9" scale="92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ボタン1_Click">
                <anchor moveWithCells="1" sizeWithCells="1">
                  <from>
                    <xdr:col>7</xdr:col>
                    <xdr:colOff>47625</xdr:colOff>
                    <xdr:row>1</xdr:row>
                    <xdr:rowOff>0</xdr:rowOff>
                  </from>
                  <to>
                    <xdr:col>8</xdr:col>
                    <xdr:colOff>95250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請求書発行">
                <anchor moveWithCells="1" sizeWithCells="1">
                  <from>
                    <xdr:col>7</xdr:col>
                    <xdr:colOff>28575</xdr:colOff>
                    <xdr:row>2</xdr:row>
                    <xdr:rowOff>123825</xdr:rowOff>
                  </from>
                  <to>
                    <xdr:col>8</xdr:col>
                    <xdr:colOff>390525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Button 3">
              <controlPr defaultSize="0" print="0" autoFill="0" autoPict="0" macro="[0]!ボタン2_Click">
                <anchor moveWithCells="1" sizeWithCells="1">
                  <from>
                    <xdr:col>9</xdr:col>
                    <xdr:colOff>285750</xdr:colOff>
                    <xdr:row>1</xdr:row>
                    <xdr:rowOff>0</xdr:rowOff>
                  </from>
                  <to>
                    <xdr:col>11</xdr:col>
                    <xdr:colOff>9525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Button 4">
              <controlPr defaultSize="0" print="0" autoFill="0" autoPict="0" macro="[0]!総括表表示">
                <anchor moveWithCells="1" sizeWithCells="1">
                  <from>
                    <xdr:col>7</xdr:col>
                    <xdr:colOff>28575</xdr:colOff>
                    <xdr:row>5</xdr:row>
                    <xdr:rowOff>257175</xdr:rowOff>
                  </from>
                  <to>
                    <xdr:col>8</xdr:col>
                    <xdr:colOff>390525</xdr:colOff>
                    <xdr:row>6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0FA7-1254-44A9-ACC3-E23DF78D36A8}">
  <dimension ref="A1:N26"/>
  <sheetViews>
    <sheetView tabSelected="1" zoomScaleNormal="100" zoomScaleSheetLayoutView="100" workbookViewId="0">
      <selection activeCell="B8" sqref="B8:G8"/>
    </sheetView>
  </sheetViews>
  <sheetFormatPr defaultColWidth="7.77734375" defaultRowHeight="14.25" x14ac:dyDescent="0.4"/>
  <cols>
    <col min="1" max="1" width="14" style="103" customWidth="1"/>
    <col min="2" max="2" width="10.5546875" style="103" customWidth="1"/>
    <col min="3" max="3" width="7" style="103" customWidth="1"/>
    <col min="4" max="4" width="6.21875" style="103" customWidth="1"/>
    <col min="5" max="5" width="8.44140625" style="103" bestFit="1" customWidth="1"/>
    <col min="6" max="6" width="9.21875" style="103" bestFit="1" customWidth="1"/>
    <col min="7" max="7" width="16.88671875" style="103" customWidth="1"/>
    <col min="8" max="16384" width="7.77734375" style="103"/>
  </cols>
  <sheetData>
    <row r="1" spans="1:14" s="31" customFormat="1" ht="30" customHeight="1" x14ac:dyDescent="0.15">
      <c r="A1" s="132" t="s">
        <v>40</v>
      </c>
      <c r="B1" s="133"/>
      <c r="C1" s="45"/>
      <c r="D1" s="48"/>
      <c r="E1" s="47"/>
      <c r="F1" s="45"/>
      <c r="G1" s="46" t="s">
        <v>63</v>
      </c>
    </row>
    <row r="2" spans="1:14" s="31" customFormat="1" ht="22.9" customHeight="1" x14ac:dyDescent="0.15">
      <c r="A2" s="45"/>
      <c r="B2" s="45"/>
      <c r="C2" s="45"/>
      <c r="D2" s="45"/>
      <c r="E2" s="45"/>
      <c r="F2" s="134">
        <v>46101</v>
      </c>
      <c r="G2" s="134"/>
    </row>
    <row r="3" spans="1:14" s="31" customFormat="1" ht="30" customHeight="1" x14ac:dyDescent="0.15">
      <c r="A3" s="110" t="s">
        <v>61</v>
      </c>
      <c r="B3" s="111"/>
      <c r="C3" s="44" t="s">
        <v>36</v>
      </c>
      <c r="F3" s="135"/>
      <c r="G3" s="135"/>
    </row>
    <row r="4" spans="1:14" s="31" customFormat="1" ht="22.9" customHeight="1" x14ac:dyDescent="0.15">
      <c r="A4" s="43"/>
      <c r="B4" s="43"/>
      <c r="C4" s="43"/>
      <c r="E4" s="42"/>
      <c r="F4" s="136"/>
      <c r="G4" s="136"/>
    </row>
    <row r="5" spans="1:14" s="31" customFormat="1" ht="30" customHeight="1" x14ac:dyDescent="0.4">
      <c r="A5" s="41" t="s">
        <v>35</v>
      </c>
      <c r="B5" s="40"/>
      <c r="C5" s="40"/>
      <c r="F5" s="136"/>
      <c r="G5" s="136"/>
    </row>
    <row r="6" spans="1:14" s="31" customFormat="1" ht="30" customHeight="1" x14ac:dyDescent="0.4">
      <c r="A6" s="39" t="s">
        <v>34</v>
      </c>
      <c r="B6" s="137">
        <f>F26</f>
        <v>1815000</v>
      </c>
      <c r="C6" s="138"/>
      <c r="D6" s="138"/>
      <c r="E6" s="38" t="s">
        <v>33</v>
      </c>
      <c r="F6" s="136"/>
      <c r="G6" s="136"/>
    </row>
    <row r="7" spans="1:14" s="31" customFormat="1" ht="30" customHeight="1" x14ac:dyDescent="0.15">
      <c r="A7" s="37"/>
      <c r="B7" s="36"/>
      <c r="C7" s="36"/>
      <c r="F7" s="35"/>
      <c r="G7" s="35"/>
    </row>
    <row r="8" spans="1:14" s="31" customFormat="1" ht="30" customHeight="1" x14ac:dyDescent="0.4">
      <c r="A8" s="34" t="s">
        <v>32</v>
      </c>
      <c r="B8" s="116" t="s">
        <v>62</v>
      </c>
      <c r="C8" s="116"/>
      <c r="D8" s="116"/>
      <c r="E8" s="116"/>
      <c r="F8" s="116"/>
      <c r="G8" s="116"/>
    </row>
    <row r="9" spans="1:14" s="31" customFormat="1" ht="30" customHeight="1" x14ac:dyDescent="0.4">
      <c r="A9" s="33"/>
      <c r="C9" s="32"/>
      <c r="G9" s="30"/>
    </row>
    <row r="10" spans="1:14" s="32" customFormat="1" ht="26.65" customHeight="1" x14ac:dyDescent="0.4">
      <c r="A10" s="29" t="s">
        <v>30</v>
      </c>
      <c r="B10" s="29" t="s">
        <v>29</v>
      </c>
      <c r="C10" s="29" t="s">
        <v>28</v>
      </c>
      <c r="D10" s="29" t="s">
        <v>27</v>
      </c>
      <c r="E10" s="29" t="s">
        <v>26</v>
      </c>
      <c r="F10" s="29" t="s">
        <v>25</v>
      </c>
      <c r="G10" s="29" t="s">
        <v>24</v>
      </c>
    </row>
    <row r="11" spans="1:14" s="32" customFormat="1" ht="26.65" customHeight="1" x14ac:dyDescent="0.4">
      <c r="A11" s="24" t="s">
        <v>56</v>
      </c>
      <c r="B11" s="26" t="s">
        <v>57</v>
      </c>
      <c r="C11" s="22">
        <v>1.91</v>
      </c>
      <c r="D11" s="21" t="s">
        <v>11</v>
      </c>
      <c r="E11" s="20">
        <v>250000</v>
      </c>
      <c r="F11" s="13">
        <f t="shared" ref="F11:F16" si="0">IF(C11="","",C11*E11)</f>
        <v>477500</v>
      </c>
      <c r="G11" s="19"/>
    </row>
    <row r="12" spans="1:14" s="32" customFormat="1" ht="26.65" customHeight="1" x14ac:dyDescent="0.4">
      <c r="A12" s="24" t="s">
        <v>56</v>
      </c>
      <c r="B12" s="26" t="s">
        <v>58</v>
      </c>
      <c r="C12" s="22">
        <v>2.93</v>
      </c>
      <c r="D12" s="21" t="s">
        <v>11</v>
      </c>
      <c r="E12" s="20">
        <v>250000</v>
      </c>
      <c r="F12" s="13">
        <f t="shared" si="0"/>
        <v>732500</v>
      </c>
      <c r="G12" s="100"/>
    </row>
    <row r="13" spans="1:14" s="31" customFormat="1" ht="26.65" customHeight="1" x14ac:dyDescent="0.4">
      <c r="A13" s="24" t="s">
        <v>59</v>
      </c>
      <c r="B13" s="24" t="s">
        <v>57</v>
      </c>
      <c r="C13" s="22">
        <v>24</v>
      </c>
      <c r="D13" s="21" t="s">
        <v>9</v>
      </c>
      <c r="E13" s="20">
        <v>6000</v>
      </c>
      <c r="F13" s="13">
        <f t="shared" si="0"/>
        <v>144000</v>
      </c>
      <c r="G13" s="19"/>
    </row>
    <row r="14" spans="1:14" s="31" customFormat="1" ht="26.65" customHeight="1" x14ac:dyDescent="0.4">
      <c r="A14" s="24" t="s">
        <v>59</v>
      </c>
      <c r="B14" s="24" t="s">
        <v>58</v>
      </c>
      <c r="C14" s="22">
        <v>55</v>
      </c>
      <c r="D14" s="21" t="s">
        <v>9</v>
      </c>
      <c r="E14" s="20">
        <v>6000</v>
      </c>
      <c r="F14" s="13">
        <f t="shared" si="0"/>
        <v>330000</v>
      </c>
      <c r="G14" s="25"/>
      <c r="N14" s="31" t="s">
        <v>14</v>
      </c>
    </row>
    <row r="15" spans="1:14" s="31" customFormat="1" ht="26.65" customHeight="1" x14ac:dyDescent="0.4">
      <c r="A15" s="24" t="s">
        <v>60</v>
      </c>
      <c r="B15" s="24" t="s">
        <v>57</v>
      </c>
      <c r="C15" s="22">
        <v>1</v>
      </c>
      <c r="D15" s="21" t="s">
        <v>54</v>
      </c>
      <c r="E15" s="20">
        <v>30000</v>
      </c>
      <c r="F15" s="13">
        <f t="shared" si="0"/>
        <v>30000</v>
      </c>
      <c r="G15" s="25"/>
    </row>
    <row r="16" spans="1:14" s="31" customFormat="1" ht="26.65" customHeight="1" x14ac:dyDescent="0.4">
      <c r="A16" s="24" t="s">
        <v>60</v>
      </c>
      <c r="B16" s="24" t="s">
        <v>58</v>
      </c>
      <c r="C16" s="22">
        <v>1</v>
      </c>
      <c r="D16" s="21" t="s">
        <v>54</v>
      </c>
      <c r="E16" s="20">
        <v>30000</v>
      </c>
      <c r="F16" s="13">
        <f t="shared" si="0"/>
        <v>30000</v>
      </c>
      <c r="G16" s="25"/>
    </row>
    <row r="17" spans="1:7" s="31" customFormat="1" ht="26.65" customHeight="1" x14ac:dyDescent="0.4">
      <c r="A17" s="24" t="s">
        <v>55</v>
      </c>
      <c r="B17" s="24"/>
      <c r="C17" s="22"/>
      <c r="D17" s="21"/>
      <c r="E17" s="20"/>
      <c r="F17" s="13">
        <v>-94000</v>
      </c>
      <c r="G17" s="25"/>
    </row>
    <row r="18" spans="1:7" s="31" customFormat="1" ht="26.65" customHeight="1" x14ac:dyDescent="0.4">
      <c r="A18" s="24"/>
      <c r="B18" s="26"/>
      <c r="C18" s="22"/>
      <c r="D18" s="21"/>
      <c r="E18" s="20"/>
      <c r="F18" s="13" t="str">
        <f t="shared" ref="F18:F23" si="1">IF(C18="","",C18*E18)</f>
        <v/>
      </c>
      <c r="G18" s="25"/>
    </row>
    <row r="19" spans="1:7" s="31" customFormat="1" ht="26.65" customHeight="1" x14ac:dyDescent="0.4">
      <c r="A19" s="24"/>
      <c r="B19" s="26"/>
      <c r="C19" s="22"/>
      <c r="D19" s="21"/>
      <c r="E19" s="20"/>
      <c r="F19" s="13" t="str">
        <f t="shared" si="1"/>
        <v/>
      </c>
      <c r="G19" s="25"/>
    </row>
    <row r="20" spans="1:7" s="31" customFormat="1" ht="26.65" customHeight="1" x14ac:dyDescent="0.4">
      <c r="A20" s="24"/>
      <c r="B20" s="26"/>
      <c r="C20" s="22"/>
      <c r="D20" s="21"/>
      <c r="E20" s="20"/>
      <c r="F20" s="13" t="str">
        <f t="shared" si="1"/>
        <v/>
      </c>
      <c r="G20" s="25"/>
    </row>
    <row r="21" spans="1:7" s="31" customFormat="1" ht="26.65" customHeight="1" x14ac:dyDescent="0.4">
      <c r="A21" s="24"/>
      <c r="B21" s="26"/>
      <c r="C21" s="22"/>
      <c r="D21" s="21"/>
      <c r="E21" s="20"/>
      <c r="F21" s="13" t="str">
        <f t="shared" si="1"/>
        <v/>
      </c>
      <c r="G21" s="25"/>
    </row>
    <row r="22" spans="1:7" s="31" customFormat="1" ht="26.65" customHeight="1" x14ac:dyDescent="0.4">
      <c r="A22" s="24"/>
      <c r="B22" s="23"/>
      <c r="C22" s="22"/>
      <c r="D22" s="21"/>
      <c r="E22" s="20"/>
      <c r="F22" s="13" t="str">
        <f t="shared" si="1"/>
        <v/>
      </c>
      <c r="G22" s="19"/>
    </row>
    <row r="23" spans="1:7" s="31" customFormat="1" ht="26.65" customHeight="1" thickBot="1" x14ac:dyDescent="0.45">
      <c r="A23" s="18"/>
      <c r="B23" s="17"/>
      <c r="C23" s="16"/>
      <c r="D23" s="15"/>
      <c r="E23" s="14"/>
      <c r="F23" s="13" t="str">
        <f t="shared" si="1"/>
        <v/>
      </c>
      <c r="G23" s="12"/>
    </row>
    <row r="24" spans="1:7" s="31" customFormat="1" ht="26.65" customHeight="1" thickTop="1" x14ac:dyDescent="0.4">
      <c r="A24" s="123"/>
      <c r="B24" s="124"/>
      <c r="C24" s="124"/>
      <c r="D24" s="125"/>
      <c r="E24" s="11" t="s">
        <v>2</v>
      </c>
      <c r="F24" s="10">
        <f>SUM(F11:F23)</f>
        <v>1650000</v>
      </c>
      <c r="G24" s="9"/>
    </row>
    <row r="25" spans="1:7" s="31" customFormat="1" ht="26.65" customHeight="1" x14ac:dyDescent="0.4">
      <c r="A25" s="126"/>
      <c r="B25" s="127"/>
      <c r="C25" s="127"/>
      <c r="D25" s="128"/>
      <c r="E25" s="8" t="s">
        <v>1</v>
      </c>
      <c r="F25" s="7">
        <f>INT(F24*0.1)</f>
        <v>165000</v>
      </c>
      <c r="G25" s="6">
        <v>0.1</v>
      </c>
    </row>
    <row r="26" spans="1:7" s="31" customFormat="1" ht="26.65" customHeight="1" x14ac:dyDescent="0.4">
      <c r="A26" s="129"/>
      <c r="B26" s="130"/>
      <c r="C26" s="130"/>
      <c r="D26" s="131"/>
      <c r="E26" s="5" t="s">
        <v>0</v>
      </c>
      <c r="F26" s="4">
        <f>SUM(F24:F25)</f>
        <v>1815000</v>
      </c>
      <c r="G26" s="3"/>
    </row>
  </sheetData>
  <mergeCells count="12">
    <mergeCell ref="A26:D26"/>
    <mergeCell ref="A1:B1"/>
    <mergeCell ref="F2:G2"/>
    <mergeCell ref="A3:B3"/>
    <mergeCell ref="F3:G3"/>
    <mergeCell ref="F4:G4"/>
    <mergeCell ref="F5:G5"/>
    <mergeCell ref="B6:D6"/>
    <mergeCell ref="F6:G6"/>
    <mergeCell ref="B8:G8"/>
    <mergeCell ref="A24:D24"/>
    <mergeCell ref="A25:D25"/>
  </mergeCells>
  <phoneticPr fontId="3"/>
  <dataValidations count="2">
    <dataValidation type="list" allowBlank="1" showInputMessage="1" showErrorMessage="1" sqref="C3" xr:uid="{FAD8877E-1AEE-4FB0-ABD5-04008AF4B514}">
      <formula1>"御中,様"</formula1>
    </dataValidation>
    <dataValidation type="list" errorStyle="warning" allowBlank="1" showInputMessage="1" sqref="D11:D23" xr:uid="{266912D3-1BCB-4639-A09E-24D98C6D68DB}">
      <formula1>"式,点,回,m,km,ha,件"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ボタン1_Click">
                <anchor moveWithCells="1" sizeWithCells="1">
                  <from>
                    <xdr:col>7</xdr:col>
                    <xdr:colOff>47625</xdr:colOff>
                    <xdr:row>1</xdr:row>
                    <xdr:rowOff>0</xdr:rowOff>
                  </from>
                  <to>
                    <xdr:col>8</xdr:col>
                    <xdr:colOff>95250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Button 2">
              <controlPr defaultSize="0" print="0" autoFill="0" autoPict="0" macro="[0]!見積書発行">
                <anchor moveWithCells="1" sizeWithCells="1">
                  <from>
                    <xdr:col>7</xdr:col>
                    <xdr:colOff>28575</xdr:colOff>
                    <xdr:row>2</xdr:row>
                    <xdr:rowOff>123825</xdr:rowOff>
                  </from>
                  <to>
                    <xdr:col>8</xdr:col>
                    <xdr:colOff>390525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 macro="[0]!ボタン2_Click">
                <anchor moveWithCells="1" sizeWithCells="1">
                  <from>
                    <xdr:col>9</xdr:col>
                    <xdr:colOff>285750</xdr:colOff>
                    <xdr:row>1</xdr:row>
                    <xdr:rowOff>0</xdr:rowOff>
                  </from>
                  <to>
                    <xdr:col>11</xdr:col>
                    <xdr:colOff>9525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0]!総括表表示">
                <anchor moveWithCells="1" sizeWithCells="1">
                  <from>
                    <xdr:col>7</xdr:col>
                    <xdr:colOff>28575</xdr:colOff>
                    <xdr:row>4</xdr:row>
                    <xdr:rowOff>123825</xdr:rowOff>
                  </from>
                  <to>
                    <xdr:col>8</xdr:col>
                    <xdr:colOff>390525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E0C3-3A05-46A3-A51E-1F114740E0D3}">
  <dimension ref="A1:G31"/>
  <sheetViews>
    <sheetView view="pageBreakPreview" zoomScale="90" zoomScaleNormal="100" zoomScaleSheetLayoutView="90" workbookViewId="0">
      <selection activeCell="F2" sqref="F2:G2"/>
    </sheetView>
  </sheetViews>
  <sheetFormatPr defaultColWidth="7.77734375" defaultRowHeight="14.25" x14ac:dyDescent="0.4"/>
  <cols>
    <col min="1" max="1" width="14" style="1" customWidth="1"/>
    <col min="2" max="2" width="10.5546875" style="1" customWidth="1"/>
    <col min="3" max="3" width="7" style="1" customWidth="1"/>
    <col min="4" max="4" width="6.21875" style="1" customWidth="1"/>
    <col min="5" max="5" width="8.44140625" style="1" bestFit="1" customWidth="1"/>
    <col min="6" max="6" width="9.21875" style="1" bestFit="1" customWidth="1"/>
    <col min="7" max="7" width="16.88671875" style="1" customWidth="1"/>
    <col min="8" max="16384" width="7.77734375" style="1"/>
  </cols>
  <sheetData>
    <row r="1" spans="1:7" s="2" customFormat="1" ht="30" customHeight="1" x14ac:dyDescent="0.4">
      <c r="A1" s="107" t="s">
        <v>53</v>
      </c>
      <c r="B1" s="108"/>
      <c r="C1" s="99"/>
      <c r="D1" s="99"/>
      <c r="E1" s="99"/>
      <c r="F1" s="99"/>
      <c r="G1" s="102" t="s">
        <v>63</v>
      </c>
    </row>
    <row r="2" spans="1:7" s="2" customFormat="1" ht="22.9" customHeight="1" x14ac:dyDescent="0.15">
      <c r="A2" s="99"/>
      <c r="B2" s="99"/>
      <c r="C2" s="99"/>
      <c r="D2" s="99"/>
      <c r="E2" s="99"/>
      <c r="F2" s="109">
        <v>46112</v>
      </c>
      <c r="G2" s="109"/>
    </row>
    <row r="3" spans="1:7" s="2" customFormat="1" ht="30" customHeight="1" x14ac:dyDescent="0.15">
      <c r="A3" s="110" t="s">
        <v>64</v>
      </c>
      <c r="B3" s="111"/>
      <c r="C3" s="98" t="s">
        <v>36</v>
      </c>
      <c r="F3" s="112"/>
      <c r="G3" s="112"/>
    </row>
    <row r="4" spans="1:7" s="2" customFormat="1" ht="12" customHeight="1" x14ac:dyDescent="0.4">
      <c r="A4" s="97"/>
      <c r="B4" s="97"/>
      <c r="C4" s="97"/>
      <c r="F4" s="113"/>
      <c r="G4" s="113"/>
    </row>
    <row r="5" spans="1:7" s="2" customFormat="1" ht="21.75" customHeight="1" x14ac:dyDescent="0.4">
      <c r="A5" s="96" t="s">
        <v>51</v>
      </c>
      <c r="B5" s="95"/>
      <c r="C5" s="95"/>
      <c r="F5" s="113"/>
      <c r="G5" s="113"/>
    </row>
    <row r="6" spans="1:7" s="2" customFormat="1" ht="30" customHeight="1" x14ac:dyDescent="0.4">
      <c r="A6" s="94" t="s">
        <v>50</v>
      </c>
      <c r="B6" s="114">
        <f>F27</f>
        <v>1815000</v>
      </c>
      <c r="C6" s="115"/>
      <c r="D6" s="115"/>
      <c r="E6" s="93" t="s">
        <v>33</v>
      </c>
      <c r="F6" s="113"/>
      <c r="G6" s="113"/>
    </row>
    <row r="7" spans="1:7" s="2" customFormat="1" ht="30" customHeight="1" x14ac:dyDescent="0.15">
      <c r="A7" s="92"/>
      <c r="B7" s="91"/>
      <c r="C7" s="91"/>
      <c r="F7" s="90"/>
      <c r="G7" s="90"/>
    </row>
    <row r="8" spans="1:7" s="2" customFormat="1" ht="30" customHeight="1" x14ac:dyDescent="0.4">
      <c r="A8" s="89" t="s">
        <v>32</v>
      </c>
      <c r="B8" s="116" t="s">
        <v>62</v>
      </c>
      <c r="C8" s="116"/>
      <c r="D8" s="116"/>
      <c r="E8" s="116"/>
      <c r="F8" s="116"/>
      <c r="G8" s="116"/>
    </row>
    <row r="9" spans="1:7" s="2" customFormat="1" ht="12" customHeight="1" x14ac:dyDescent="0.4">
      <c r="A9" s="88"/>
      <c r="C9" s="27"/>
      <c r="G9" s="87"/>
    </row>
    <row r="10" spans="1:7" s="27" customFormat="1" ht="26.65" customHeight="1" x14ac:dyDescent="0.4">
      <c r="A10" s="86" t="s">
        <v>30</v>
      </c>
      <c r="B10" s="86" t="s">
        <v>29</v>
      </c>
      <c r="C10" s="86" t="s">
        <v>28</v>
      </c>
      <c r="D10" s="86" t="s">
        <v>27</v>
      </c>
      <c r="E10" s="86" t="s">
        <v>26</v>
      </c>
      <c r="F10" s="86" t="s">
        <v>25</v>
      </c>
      <c r="G10" s="86" t="s">
        <v>24</v>
      </c>
    </row>
    <row r="11" spans="1:7" s="27" customFormat="1" ht="26.25" customHeight="1" x14ac:dyDescent="0.4">
      <c r="A11" s="24" t="s">
        <v>56</v>
      </c>
      <c r="B11" s="26" t="s">
        <v>57</v>
      </c>
      <c r="C11" s="22">
        <v>1.91</v>
      </c>
      <c r="D11" s="21" t="s">
        <v>11</v>
      </c>
      <c r="E11" s="20">
        <v>250000</v>
      </c>
      <c r="F11" s="13">
        <f t="shared" ref="F11:F14" si="0">IF(C11="","",C11*E11)</f>
        <v>477500</v>
      </c>
      <c r="G11" s="19"/>
    </row>
    <row r="12" spans="1:7" s="27" customFormat="1" ht="26.65" customHeight="1" x14ac:dyDescent="0.4">
      <c r="A12" s="24" t="s">
        <v>56</v>
      </c>
      <c r="B12" s="26" t="s">
        <v>58</v>
      </c>
      <c r="C12" s="22">
        <v>2.93</v>
      </c>
      <c r="D12" s="21" t="s">
        <v>11</v>
      </c>
      <c r="E12" s="20">
        <v>250000</v>
      </c>
      <c r="F12" s="13">
        <f t="shared" si="0"/>
        <v>732500</v>
      </c>
      <c r="G12" s="100"/>
    </row>
    <row r="13" spans="1:7" s="2" customFormat="1" ht="26.65" customHeight="1" x14ac:dyDescent="0.4">
      <c r="A13" s="24" t="s">
        <v>59</v>
      </c>
      <c r="B13" s="24" t="s">
        <v>57</v>
      </c>
      <c r="C13" s="22">
        <v>24</v>
      </c>
      <c r="D13" s="21" t="s">
        <v>9</v>
      </c>
      <c r="E13" s="20">
        <v>6000</v>
      </c>
      <c r="F13" s="13">
        <f t="shared" si="0"/>
        <v>144000</v>
      </c>
      <c r="G13" s="19"/>
    </row>
    <row r="14" spans="1:7" s="2" customFormat="1" ht="26.65" customHeight="1" x14ac:dyDescent="0.4">
      <c r="A14" s="76" t="s">
        <v>59</v>
      </c>
      <c r="B14" s="76" t="s">
        <v>58</v>
      </c>
      <c r="C14" s="75">
        <v>55</v>
      </c>
      <c r="D14" s="74" t="s">
        <v>9</v>
      </c>
      <c r="E14" s="73">
        <v>6000</v>
      </c>
      <c r="F14" s="13">
        <f t="shared" si="0"/>
        <v>330000</v>
      </c>
      <c r="G14" s="77"/>
    </row>
    <row r="15" spans="1:7" s="2" customFormat="1" ht="26.65" customHeight="1" x14ac:dyDescent="0.4">
      <c r="A15" s="76" t="s">
        <v>60</v>
      </c>
      <c r="B15" s="76" t="s">
        <v>57</v>
      </c>
      <c r="C15" s="75">
        <v>1</v>
      </c>
      <c r="D15" s="74" t="s">
        <v>54</v>
      </c>
      <c r="E15" s="73">
        <v>30000</v>
      </c>
      <c r="F15" s="78">
        <f t="shared" ref="F15:F23" si="1">IF(C15="","",C15*E15)</f>
        <v>30000</v>
      </c>
      <c r="G15" s="79"/>
    </row>
    <row r="16" spans="1:7" s="2" customFormat="1" ht="26.65" customHeight="1" x14ac:dyDescent="0.4">
      <c r="A16" s="76" t="s">
        <v>60</v>
      </c>
      <c r="B16" s="76" t="s">
        <v>58</v>
      </c>
      <c r="C16" s="75">
        <v>1</v>
      </c>
      <c r="D16" s="74" t="s">
        <v>54</v>
      </c>
      <c r="E16" s="73">
        <v>30000</v>
      </c>
      <c r="F16" s="78">
        <f t="shared" si="1"/>
        <v>30000</v>
      </c>
      <c r="G16" s="79"/>
    </row>
    <row r="17" spans="1:7" s="2" customFormat="1" ht="26.65" customHeight="1" x14ac:dyDescent="0.4">
      <c r="A17" s="76" t="s">
        <v>55</v>
      </c>
      <c r="B17" s="76"/>
      <c r="C17" s="75"/>
      <c r="D17" s="74"/>
      <c r="E17" s="73"/>
      <c r="F17" s="78">
        <v>-94000</v>
      </c>
      <c r="G17" s="79"/>
    </row>
    <row r="18" spans="1:7" s="2" customFormat="1" ht="26.65" customHeight="1" x14ac:dyDescent="0.4">
      <c r="A18" s="76"/>
      <c r="B18" s="76"/>
      <c r="C18" s="75"/>
      <c r="D18" s="74"/>
      <c r="E18" s="73"/>
      <c r="F18" s="78" t="str">
        <f t="shared" si="1"/>
        <v/>
      </c>
      <c r="G18" s="79"/>
    </row>
    <row r="19" spans="1:7" s="2" customFormat="1" ht="26.65" customHeight="1" x14ac:dyDescent="0.4">
      <c r="A19" s="76"/>
      <c r="B19" s="81"/>
      <c r="C19" s="75"/>
      <c r="D19" s="74"/>
      <c r="E19" s="73"/>
      <c r="F19" s="78" t="str">
        <f t="shared" si="1"/>
        <v/>
      </c>
      <c r="G19" s="79"/>
    </row>
    <row r="20" spans="1:7" s="2" customFormat="1" ht="26.65" customHeight="1" x14ac:dyDescent="0.4">
      <c r="A20" s="82"/>
      <c r="B20" s="81"/>
      <c r="C20" s="75"/>
      <c r="D20" s="74"/>
      <c r="E20" s="73"/>
      <c r="F20" s="78" t="str">
        <f t="shared" si="1"/>
        <v/>
      </c>
      <c r="G20" s="79"/>
    </row>
    <row r="21" spans="1:7" s="2" customFormat="1" ht="26.65" customHeight="1" x14ac:dyDescent="0.4">
      <c r="A21" s="80"/>
      <c r="B21" s="76"/>
      <c r="C21" s="75"/>
      <c r="D21" s="74"/>
      <c r="E21" s="73"/>
      <c r="F21" s="78" t="str">
        <f t="shared" si="1"/>
        <v/>
      </c>
      <c r="G21" s="79"/>
    </row>
    <row r="22" spans="1:7" s="2" customFormat="1" ht="26.65" customHeight="1" x14ac:dyDescent="0.4">
      <c r="A22" s="76"/>
      <c r="B22" s="76"/>
      <c r="C22" s="75"/>
      <c r="D22" s="74"/>
      <c r="E22" s="73"/>
      <c r="F22" s="78" t="str">
        <f t="shared" si="1"/>
        <v/>
      </c>
      <c r="G22" s="79"/>
    </row>
    <row r="23" spans="1:7" s="2" customFormat="1" ht="26.65" customHeight="1" x14ac:dyDescent="0.4">
      <c r="A23" s="76"/>
      <c r="B23" s="76"/>
      <c r="C23" s="75"/>
      <c r="D23" s="74"/>
      <c r="E23" s="73"/>
      <c r="F23" s="78" t="str">
        <f t="shared" si="1"/>
        <v/>
      </c>
      <c r="G23" s="77"/>
    </row>
    <row r="24" spans="1:7" s="2" customFormat="1" ht="26.65" customHeight="1" thickBot="1" x14ac:dyDescent="0.45">
      <c r="A24" s="101"/>
      <c r="B24" s="76"/>
      <c r="C24" s="75"/>
      <c r="D24" s="74"/>
      <c r="E24" s="73"/>
      <c r="F24" s="72"/>
      <c r="G24" s="71"/>
    </row>
    <row r="25" spans="1:7" s="2" customFormat="1" ht="26.65" customHeight="1" thickTop="1" x14ac:dyDescent="0.4">
      <c r="A25" s="117"/>
      <c r="B25" s="118"/>
      <c r="C25" s="118"/>
      <c r="D25" s="119"/>
      <c r="E25" s="70" t="s">
        <v>2</v>
      </c>
      <c r="F25" s="69">
        <f>SUM(F11:F24)</f>
        <v>1650000</v>
      </c>
      <c r="G25" s="68"/>
    </row>
    <row r="26" spans="1:7" s="2" customFormat="1" ht="26.65" customHeight="1" x14ac:dyDescent="0.4">
      <c r="A26" s="120"/>
      <c r="B26" s="121"/>
      <c r="C26" s="121"/>
      <c r="D26" s="122"/>
      <c r="E26" s="67" t="s">
        <v>1</v>
      </c>
      <c r="F26" s="66">
        <f>INT(F25*0.1)</f>
        <v>165000</v>
      </c>
      <c r="G26" s="65">
        <v>0.1</v>
      </c>
    </row>
    <row r="27" spans="1:7" s="2" customFormat="1" ht="26.65" customHeight="1" x14ac:dyDescent="0.4">
      <c r="A27" s="104"/>
      <c r="B27" s="105"/>
      <c r="C27" s="105"/>
      <c r="D27" s="106"/>
      <c r="E27" s="64" t="s">
        <v>0</v>
      </c>
      <c r="F27" s="63">
        <f>SUM(F25:F26)</f>
        <v>1815000</v>
      </c>
      <c r="G27" s="62"/>
    </row>
    <row r="29" spans="1:7" ht="16.5" customHeight="1" x14ac:dyDescent="0.4">
      <c r="A29" s="61" t="s">
        <v>45</v>
      </c>
      <c r="B29" s="60"/>
      <c r="C29" s="60"/>
      <c r="D29" s="60"/>
      <c r="E29" s="60"/>
      <c r="F29" s="59"/>
      <c r="G29" s="58"/>
    </row>
    <row r="30" spans="1:7" ht="16.5" customHeight="1" x14ac:dyDescent="0.4">
      <c r="A30" s="57" t="s">
        <v>44</v>
      </c>
      <c r="D30" s="56" t="s">
        <v>43</v>
      </c>
      <c r="F30" s="55"/>
      <c r="G30" s="54"/>
    </row>
    <row r="31" spans="1:7" ht="16.5" customHeight="1" x14ac:dyDescent="0.4">
      <c r="A31" s="53" t="s">
        <v>42</v>
      </c>
      <c r="B31" s="51"/>
      <c r="C31" s="51"/>
      <c r="D31" s="52" t="s">
        <v>41</v>
      </c>
      <c r="E31" s="51"/>
      <c r="F31" s="50"/>
      <c r="G31" s="49"/>
    </row>
  </sheetData>
  <mergeCells count="12">
    <mergeCell ref="A27:D27"/>
    <mergeCell ref="A1:B1"/>
    <mergeCell ref="F2:G2"/>
    <mergeCell ref="A3:B3"/>
    <mergeCell ref="F3:G3"/>
    <mergeCell ref="F4:G4"/>
    <mergeCell ref="F5:G5"/>
    <mergeCell ref="B6:D6"/>
    <mergeCell ref="F6:G6"/>
    <mergeCell ref="B8:G8"/>
    <mergeCell ref="A25:D25"/>
    <mergeCell ref="A26:D26"/>
  </mergeCells>
  <phoneticPr fontId="3"/>
  <dataValidations count="2">
    <dataValidation type="list" allowBlank="1" showInputMessage="1" showErrorMessage="1" sqref="C3" xr:uid="{8C5C9271-968A-4A6B-9C73-B8F3CFA764A4}">
      <formula1>"御中,様"</formula1>
    </dataValidation>
    <dataValidation type="list" errorStyle="warning" allowBlank="1" showInputMessage="1" sqref="D11:D24" xr:uid="{795CD707-357E-45E9-A567-15C1A062AE07}">
      <formula1>"式,点,回,m,km,ha,件"</formula1>
    </dataValidation>
  </dataValidations>
  <pageMargins left="0.7" right="0.7" top="0.75" bottom="0.75" header="0.3" footer="0.3"/>
  <pageSetup paperSize="9" scale="92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ボタン1_Click">
                <anchor moveWithCells="1" sizeWithCells="1">
                  <from>
                    <xdr:col>7</xdr:col>
                    <xdr:colOff>47625</xdr:colOff>
                    <xdr:row>1</xdr:row>
                    <xdr:rowOff>0</xdr:rowOff>
                  </from>
                  <to>
                    <xdr:col>8</xdr:col>
                    <xdr:colOff>95250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 macro="[0]!請求書発行">
                <anchor moveWithCells="1" sizeWithCells="1">
                  <from>
                    <xdr:col>7</xdr:col>
                    <xdr:colOff>28575</xdr:colOff>
                    <xdr:row>2</xdr:row>
                    <xdr:rowOff>123825</xdr:rowOff>
                  </from>
                  <to>
                    <xdr:col>8</xdr:col>
                    <xdr:colOff>390525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0]!ボタン2_Click">
                <anchor moveWithCells="1" sizeWithCells="1">
                  <from>
                    <xdr:col>9</xdr:col>
                    <xdr:colOff>285750</xdr:colOff>
                    <xdr:row>1</xdr:row>
                    <xdr:rowOff>0</xdr:rowOff>
                  </from>
                  <to>
                    <xdr:col>11</xdr:col>
                    <xdr:colOff>9525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 macro="[0]!総括表表示">
                <anchor moveWithCells="1" sizeWithCells="1">
                  <from>
                    <xdr:col>7</xdr:col>
                    <xdr:colOff>28575</xdr:colOff>
                    <xdr:row>5</xdr:row>
                    <xdr:rowOff>257175</xdr:rowOff>
                  </from>
                  <to>
                    <xdr:col>8</xdr:col>
                    <xdr:colOff>390525</xdr:colOff>
                    <xdr:row>6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R5_M59-1</vt:lpstr>
      <vt:lpstr>R5_S59-1</vt:lpstr>
      <vt:lpstr>R6_M11</vt:lpstr>
      <vt:lpstr>A240009</vt:lpstr>
      <vt:lpstr>'A240009'!Print_Area</vt:lpstr>
      <vt:lpstr>'R5_M59-1'!Print_Area</vt:lpstr>
      <vt:lpstr>'R5_S59-1'!Print_Area</vt:lpstr>
      <vt:lpstr>'R6_M11'!Print_Area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mayuko.sasahara2000@gmail.com</dc:creator>
  <cp:lastModifiedBy>横山太郎</cp:lastModifiedBy>
  <cp:lastPrinted>2026-03-31T04:46:49Z</cp:lastPrinted>
  <dcterms:created xsi:type="dcterms:W3CDTF">2024-01-23T05:15:43Z</dcterms:created>
  <dcterms:modified xsi:type="dcterms:W3CDTF">2026-04-02T22:55:11Z</dcterms:modified>
</cp:coreProperties>
</file>